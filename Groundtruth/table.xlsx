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1DCFC6BA-2DB7-4B74-94EA-7F288F369CCE}" xr6:coauthVersionLast="47" xr6:coauthVersionMax="47" xr10:uidLastSave="{00000000-0000-0000-0000-000000000000}"/>
  <bookViews>
    <workbookView xWindow="-108" yWindow="-108" windowWidth="23256" windowHeight="12456" tabRatio="455" activeTab="7" xr2:uid="{43B6D743-2A59-481A-853B-2CF06C350A41}"/>
  </bookViews>
  <sheets>
    <sheet name="Oval" sheetId="1" r:id="rId1"/>
    <sheet name="Olympic-ring" sheetId="2" r:id="rId2"/>
    <sheet name="Linear" sheetId="3" r:id="rId3"/>
    <sheet name="colonies" sheetId="4" r:id="rId4"/>
    <sheet name="Sinusoid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H3" i="2"/>
</calcChain>
</file>

<file path=xl/sharedStrings.xml><?xml version="1.0" encoding="utf-8"?>
<sst xmlns="http://schemas.openxmlformats.org/spreadsheetml/2006/main" count="465" uniqueCount="78">
  <si>
    <t>Scale Name</t>
  </si>
  <si>
    <t>Scale</t>
  </si>
  <si>
    <t>Model</t>
  </si>
  <si>
    <t>GT</t>
  </si>
  <si>
    <t>TP</t>
  </si>
  <si>
    <t>FP</t>
  </si>
  <si>
    <t>FN</t>
  </si>
  <si>
    <t>Precision</t>
  </si>
  <si>
    <t>Recall</t>
  </si>
  <si>
    <t>F1</t>
  </si>
  <si>
    <t>original</t>
  </si>
  <si>
    <t>1x,1x,1x</t>
  </si>
  <si>
    <t>2x1y1z</t>
  </si>
  <si>
    <t>2x,1x,1x</t>
  </si>
  <si>
    <t>1x2y1z</t>
  </si>
  <si>
    <t>1x,2x,1x</t>
  </si>
  <si>
    <t>1x1y2z</t>
  </si>
  <si>
    <t>1x,1x,2x</t>
  </si>
  <si>
    <t>2x2y1z</t>
  </si>
  <si>
    <t>2x,2x,1x</t>
  </si>
  <si>
    <t>1x2y2z</t>
  </si>
  <si>
    <t>1x,2x,2x</t>
  </si>
  <si>
    <t>2x2y2z</t>
  </si>
  <si>
    <t>2x,2x,2x</t>
  </si>
  <si>
    <t>3x1y1z</t>
  </si>
  <si>
    <t>3x,1x,1x</t>
  </si>
  <si>
    <t>3x2y1z</t>
  </si>
  <si>
    <t>3x,2x,1x</t>
  </si>
  <si>
    <t>3x1y2z</t>
  </si>
  <si>
    <t>3x,1x,2x</t>
  </si>
  <si>
    <t>3x2y2z</t>
  </si>
  <si>
    <t>3x,2x,2x</t>
  </si>
  <si>
    <t>Oval</t>
  </si>
  <si>
    <t>Texture</t>
  </si>
  <si>
    <t>Linear</t>
  </si>
  <si>
    <t>Oval_Model</t>
  </si>
  <si>
    <t>Oval_GT</t>
  </si>
  <si>
    <t>Oval_TP</t>
  </si>
  <si>
    <t>Oval_FP</t>
  </si>
  <si>
    <t>Oval_FN</t>
  </si>
  <si>
    <t>Oval_Prec</t>
  </si>
  <si>
    <t>Oval_Recall</t>
  </si>
  <si>
    <t>Oval_F1</t>
  </si>
  <si>
    <t>Olympic_Model</t>
  </si>
  <si>
    <t>Olympic_GT</t>
  </si>
  <si>
    <t>Olympic_TP</t>
  </si>
  <si>
    <t>Olympic_FP</t>
  </si>
  <si>
    <t>Olympic_FN</t>
  </si>
  <si>
    <t>Olympic_Prec</t>
  </si>
  <si>
    <t>Olympic_Recall</t>
  </si>
  <si>
    <t>Olympic_F1</t>
  </si>
  <si>
    <t>Linear_Model</t>
  </si>
  <si>
    <t>Linear_GT</t>
  </si>
  <si>
    <t>Linear_TP</t>
  </si>
  <si>
    <t>Linear_FP</t>
  </si>
  <si>
    <t>Linear_FN</t>
  </si>
  <si>
    <t>Linear_Prec</t>
  </si>
  <si>
    <t>Linear_Recall</t>
  </si>
  <si>
    <t>Linear_F1</t>
  </si>
  <si>
    <t>Colonies_Model</t>
  </si>
  <si>
    <t>Colonies_GT</t>
  </si>
  <si>
    <t>Colonies_TP</t>
  </si>
  <si>
    <t>Colonies_FP</t>
  </si>
  <si>
    <t>Colonies_FN</t>
  </si>
  <si>
    <t>Colonies_Prec</t>
  </si>
  <si>
    <t>Colonies_Recall</t>
  </si>
  <si>
    <t>Colonies_F1</t>
  </si>
  <si>
    <t>Sinusoid_Model</t>
  </si>
  <si>
    <t>Sinusoid_GT</t>
  </si>
  <si>
    <t>Sinusoid_TP</t>
  </si>
  <si>
    <t>Sinusoid_FP</t>
  </si>
  <si>
    <t>Sinusoid_FN</t>
  </si>
  <si>
    <t>Sinusoid_Prec</t>
  </si>
  <si>
    <t>Sinusoid_Recall</t>
  </si>
  <si>
    <t>Sinusoid_F1</t>
  </si>
  <si>
    <t>Olympic-Ring</t>
  </si>
  <si>
    <t>Colonies</t>
  </si>
  <si>
    <t>Sinusoid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</si>
</sst>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3BC4-A1F6-4C4D-BB92-26738851F355}">
  <dimension ref="A1:K13"/>
  <sheetViews>
    <sheetView workbookViewId="0">
      <selection activeCell="J17" sqref="J17"/>
    </sheetView>
  </sheetViews>
  <sheetFormatPr defaultRowHeight="14.4" x14ac:dyDescent="0.3"/>
  <cols>
    <col min="12" max="12" width="12.88671875" customWidth="1"/>
  </cols>
  <sheetData>
    <row r="1" spans="1:11" x14ac:dyDescent="0.3">
      <c r="A1" t="s">
        <v>32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3">
      <c r="A3" t="s">
        <v>10</v>
      </c>
      <c r="B3" t="s">
        <v>11</v>
      </c>
      <c r="C3">
        <v>2178</v>
      </c>
      <c r="D3">
        <v>2173</v>
      </c>
      <c r="E3">
        <v>1847</v>
      </c>
      <c r="F3">
        <v>331</v>
      </c>
      <c r="G3">
        <v>326</v>
      </c>
      <c r="H3">
        <v>0.84799999999999998</v>
      </c>
      <c r="I3">
        <v>0.85</v>
      </c>
      <c r="J3">
        <v>0.84899999999999998</v>
      </c>
      <c r="K3" s="1"/>
    </row>
    <row r="4" spans="1:11" x14ac:dyDescent="0.3">
      <c r="A4" t="s">
        <v>12</v>
      </c>
      <c r="B4" t="s">
        <v>13</v>
      </c>
      <c r="C4">
        <v>2177</v>
      </c>
      <c r="D4">
        <v>2823</v>
      </c>
      <c r="E4">
        <v>1960</v>
      </c>
      <c r="F4">
        <v>217</v>
      </c>
      <c r="G4">
        <v>863</v>
      </c>
      <c r="H4">
        <v>0.90029999999999999</v>
      </c>
      <c r="I4">
        <v>0.69430000000000003</v>
      </c>
      <c r="J4">
        <v>0.78400000000000003</v>
      </c>
      <c r="K4" s="1"/>
    </row>
    <row r="5" spans="1:11" x14ac:dyDescent="0.3">
      <c r="A5" t="s">
        <v>14</v>
      </c>
      <c r="B5" t="s">
        <v>15</v>
      </c>
      <c r="C5">
        <v>5246</v>
      </c>
      <c r="D5">
        <v>5754</v>
      </c>
      <c r="E5">
        <v>4587</v>
      </c>
      <c r="F5">
        <v>659</v>
      </c>
      <c r="G5">
        <v>1167</v>
      </c>
      <c r="H5">
        <v>0.87439999999999996</v>
      </c>
      <c r="I5">
        <v>0.79720000000000002</v>
      </c>
      <c r="J5">
        <v>0.83399999999999996</v>
      </c>
      <c r="K5" s="1"/>
    </row>
    <row r="6" spans="1:11" x14ac:dyDescent="0.3">
      <c r="A6" t="s">
        <v>16</v>
      </c>
      <c r="B6" t="s">
        <v>17</v>
      </c>
      <c r="C6">
        <v>2178</v>
      </c>
      <c r="D6">
        <v>2297</v>
      </c>
      <c r="E6">
        <v>1969</v>
      </c>
      <c r="F6">
        <v>209</v>
      </c>
      <c r="G6">
        <v>328</v>
      </c>
      <c r="H6">
        <v>0.90400000000000003</v>
      </c>
      <c r="I6">
        <v>0.85719999999999996</v>
      </c>
      <c r="J6">
        <v>0.88</v>
      </c>
      <c r="K6" s="1"/>
    </row>
    <row r="7" spans="1:11" x14ac:dyDescent="0.3">
      <c r="A7" t="s">
        <v>18</v>
      </c>
      <c r="B7" t="s">
        <v>19</v>
      </c>
      <c r="C7">
        <v>8239</v>
      </c>
      <c r="D7">
        <v>8961</v>
      </c>
      <c r="E7">
        <v>7353</v>
      </c>
      <c r="F7">
        <v>886</v>
      </c>
      <c r="G7">
        <v>1608</v>
      </c>
      <c r="H7">
        <v>0.89249999999999996</v>
      </c>
      <c r="I7">
        <v>0.8206</v>
      </c>
      <c r="J7">
        <v>0.85499999999999998</v>
      </c>
      <c r="K7" s="1"/>
    </row>
    <row r="8" spans="1:11" x14ac:dyDescent="0.3">
      <c r="A8" t="s">
        <v>20</v>
      </c>
      <c r="B8" t="s">
        <v>21</v>
      </c>
      <c r="C8">
        <v>5245</v>
      </c>
      <c r="D8">
        <v>4958</v>
      </c>
      <c r="E8">
        <v>4423</v>
      </c>
      <c r="F8">
        <v>822</v>
      </c>
      <c r="G8">
        <v>535</v>
      </c>
      <c r="H8">
        <v>0.84330000000000005</v>
      </c>
      <c r="I8">
        <v>0.8921</v>
      </c>
      <c r="J8">
        <v>0.86699999999999999</v>
      </c>
      <c r="K8" s="1"/>
    </row>
    <row r="9" spans="1:11" x14ac:dyDescent="0.3">
      <c r="A9" t="s">
        <v>22</v>
      </c>
      <c r="B9" t="s">
        <v>23</v>
      </c>
      <c r="C9">
        <v>8239</v>
      </c>
      <c r="D9">
        <v>8761</v>
      </c>
      <c r="E9">
        <v>7123</v>
      </c>
      <c r="F9">
        <v>1116</v>
      </c>
      <c r="G9">
        <v>1638</v>
      </c>
      <c r="H9">
        <v>0.86450000000000005</v>
      </c>
      <c r="I9">
        <v>0.81299999999999994</v>
      </c>
      <c r="J9">
        <v>0.83799999999999997</v>
      </c>
      <c r="K9" s="1"/>
    </row>
    <row r="10" spans="1:11" x14ac:dyDescent="0.3">
      <c r="A10" t="s">
        <v>24</v>
      </c>
      <c r="B10" t="s">
        <v>25</v>
      </c>
      <c r="C10">
        <v>2178</v>
      </c>
      <c r="D10">
        <v>3435</v>
      </c>
      <c r="E10">
        <v>1900</v>
      </c>
      <c r="F10">
        <v>278</v>
      </c>
      <c r="G10">
        <v>1535</v>
      </c>
      <c r="H10">
        <v>0.87239999999999995</v>
      </c>
      <c r="I10">
        <v>0.55310000000000004</v>
      </c>
      <c r="J10">
        <v>0.67700000000000005</v>
      </c>
      <c r="K10" s="1"/>
    </row>
    <row r="11" spans="1:11" x14ac:dyDescent="0.3">
      <c r="A11" t="s">
        <v>26</v>
      </c>
      <c r="B11" t="s">
        <v>27</v>
      </c>
      <c r="C11">
        <v>8250</v>
      </c>
      <c r="D11">
        <v>13750</v>
      </c>
      <c r="E11">
        <v>7403</v>
      </c>
      <c r="F11">
        <v>847</v>
      </c>
      <c r="G11">
        <v>6347</v>
      </c>
      <c r="H11">
        <v>0.89729999999999999</v>
      </c>
      <c r="I11">
        <v>0.53839999999999999</v>
      </c>
      <c r="J11">
        <v>0.67300000000000004</v>
      </c>
      <c r="K11" s="1"/>
    </row>
    <row r="12" spans="1:11" x14ac:dyDescent="0.3">
      <c r="A12" t="s">
        <v>28</v>
      </c>
      <c r="B12" t="s">
        <v>29</v>
      </c>
      <c r="C12">
        <v>2178</v>
      </c>
      <c r="D12">
        <v>3822</v>
      </c>
      <c r="E12">
        <v>1878</v>
      </c>
      <c r="F12">
        <v>300</v>
      </c>
      <c r="G12">
        <v>1944</v>
      </c>
      <c r="H12">
        <v>0.86229999999999996</v>
      </c>
      <c r="I12">
        <v>0.4914</v>
      </c>
      <c r="J12">
        <v>0.626</v>
      </c>
      <c r="K12" s="1"/>
    </row>
    <row r="13" spans="1:11" x14ac:dyDescent="0.3">
      <c r="A13" t="s">
        <v>30</v>
      </c>
      <c r="B13" t="s">
        <v>31</v>
      </c>
      <c r="C13">
        <v>8250</v>
      </c>
      <c r="D13">
        <v>14750</v>
      </c>
      <c r="E13">
        <v>7452</v>
      </c>
      <c r="F13">
        <v>798</v>
      </c>
      <c r="G13">
        <v>7298</v>
      </c>
      <c r="H13">
        <v>0.90329999999999999</v>
      </c>
      <c r="I13">
        <v>0.50519999999999998</v>
      </c>
      <c r="J13">
        <v>0.64800000000000002</v>
      </c>
      <c r="K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F780-D84C-4D95-BCA8-FDFB1033C080}">
  <dimension ref="A2:K13"/>
  <sheetViews>
    <sheetView topLeftCell="A2" workbookViewId="0">
      <selection activeCell="A2" sqref="A2:J13"/>
    </sheetView>
  </sheetViews>
  <sheetFormatPr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3">
      <c r="A3" t="s">
        <v>10</v>
      </c>
      <c r="B3" t="s">
        <v>11</v>
      </c>
      <c r="C3">
        <v>673</v>
      </c>
      <c r="D3">
        <v>623</v>
      </c>
      <c r="E3">
        <v>600</v>
      </c>
      <c r="F3">
        <v>73</v>
      </c>
      <c r="G3">
        <v>23</v>
      </c>
      <c r="H3">
        <f>600/673</f>
        <v>0.89153046062407137</v>
      </c>
      <c r="I3">
        <f>600/623</f>
        <v>0.96308186195826651</v>
      </c>
      <c r="J3">
        <v>0.93210000000000004</v>
      </c>
      <c r="K3" s="2"/>
    </row>
    <row r="4" spans="1:11" x14ac:dyDescent="0.3">
      <c r="A4" t="s">
        <v>12</v>
      </c>
      <c r="B4" t="s">
        <v>13</v>
      </c>
      <c r="C4">
        <v>785</v>
      </c>
      <c r="D4">
        <v>709</v>
      </c>
      <c r="E4">
        <v>655</v>
      </c>
      <c r="F4">
        <v>130</v>
      </c>
      <c r="G4">
        <v>54</v>
      </c>
      <c r="H4">
        <v>0.83440000000000003</v>
      </c>
      <c r="I4">
        <f>655/(655+54)</f>
        <v>0.92383638928067702</v>
      </c>
      <c r="J4">
        <v>0.87680000000000002</v>
      </c>
      <c r="K4" s="2"/>
    </row>
    <row r="5" spans="1:11" x14ac:dyDescent="0.3">
      <c r="A5" t="s">
        <v>14</v>
      </c>
      <c r="B5" t="s">
        <v>15</v>
      </c>
      <c r="C5">
        <v>2169</v>
      </c>
      <c r="D5">
        <v>2226</v>
      </c>
      <c r="E5">
        <v>1971</v>
      </c>
      <c r="F5">
        <v>198</v>
      </c>
      <c r="G5">
        <v>255</v>
      </c>
      <c r="H5">
        <v>0.90869999999999995</v>
      </c>
      <c r="I5">
        <v>0.88539999999999996</v>
      </c>
      <c r="J5">
        <v>0.89690000000000003</v>
      </c>
      <c r="K5" s="2"/>
    </row>
    <row r="6" spans="1:11" x14ac:dyDescent="0.3">
      <c r="A6" t="s">
        <v>16</v>
      </c>
      <c r="B6" t="s">
        <v>17</v>
      </c>
      <c r="C6">
        <v>708</v>
      </c>
      <c r="D6">
        <v>707</v>
      </c>
      <c r="E6">
        <v>643</v>
      </c>
      <c r="F6">
        <v>65</v>
      </c>
      <c r="G6">
        <v>64</v>
      </c>
      <c r="H6">
        <v>0.90820000000000001</v>
      </c>
      <c r="I6">
        <v>0.90949999999999998</v>
      </c>
      <c r="J6">
        <v>0.90880000000000005</v>
      </c>
      <c r="K6" s="2"/>
    </row>
    <row r="7" spans="1:11" x14ac:dyDescent="0.3">
      <c r="A7" t="s">
        <v>18</v>
      </c>
      <c r="B7" t="s">
        <v>19</v>
      </c>
      <c r="C7">
        <v>2317</v>
      </c>
      <c r="D7">
        <v>2486</v>
      </c>
      <c r="E7">
        <v>1931</v>
      </c>
      <c r="F7">
        <v>386</v>
      </c>
      <c r="G7">
        <v>555</v>
      </c>
      <c r="H7">
        <v>0.83340000000000003</v>
      </c>
      <c r="I7">
        <v>0.77669999999999995</v>
      </c>
      <c r="J7">
        <v>0.80410000000000004</v>
      </c>
      <c r="K7" s="2"/>
    </row>
    <row r="8" spans="1:11" x14ac:dyDescent="0.3">
      <c r="A8" t="s">
        <v>20</v>
      </c>
      <c r="B8" t="s">
        <v>21</v>
      </c>
      <c r="C8">
        <v>2169</v>
      </c>
      <c r="D8">
        <v>2580</v>
      </c>
      <c r="E8">
        <v>1971</v>
      </c>
      <c r="F8">
        <v>198</v>
      </c>
      <c r="G8">
        <v>609</v>
      </c>
      <c r="H8">
        <v>0.90869999999999995</v>
      </c>
      <c r="I8">
        <v>0.76400000000000001</v>
      </c>
      <c r="J8">
        <v>0.83009999999999995</v>
      </c>
      <c r="K8" s="2"/>
    </row>
    <row r="9" spans="1:11" x14ac:dyDescent="0.3">
      <c r="A9" t="s">
        <v>22</v>
      </c>
      <c r="B9" t="s">
        <v>23</v>
      </c>
      <c r="C9">
        <v>2317</v>
      </c>
      <c r="D9">
        <v>2826</v>
      </c>
      <c r="E9">
        <v>2106</v>
      </c>
      <c r="F9">
        <v>211</v>
      </c>
      <c r="G9">
        <v>720</v>
      </c>
      <c r="H9">
        <v>0.90890000000000004</v>
      </c>
      <c r="I9">
        <v>0.74519999999999997</v>
      </c>
      <c r="J9">
        <v>0.81899999999999995</v>
      </c>
      <c r="K9" s="2"/>
    </row>
    <row r="10" spans="1:11" x14ac:dyDescent="0.3">
      <c r="A10" t="s">
        <v>24</v>
      </c>
      <c r="B10" t="s">
        <v>25</v>
      </c>
      <c r="C10">
        <v>791</v>
      </c>
      <c r="D10">
        <v>1162</v>
      </c>
      <c r="E10">
        <v>660</v>
      </c>
      <c r="F10">
        <v>131</v>
      </c>
      <c r="G10">
        <v>502</v>
      </c>
      <c r="H10">
        <v>0.83440000000000003</v>
      </c>
      <c r="I10">
        <v>0.56799999999999995</v>
      </c>
      <c r="J10">
        <v>0.67589999999999995</v>
      </c>
      <c r="K10" s="2"/>
    </row>
    <row r="11" spans="1:11" x14ac:dyDescent="0.3">
      <c r="A11" t="s">
        <v>26</v>
      </c>
      <c r="B11" t="s">
        <v>27</v>
      </c>
      <c r="C11">
        <v>2520</v>
      </c>
      <c r="D11">
        <v>2949</v>
      </c>
      <c r="E11">
        <v>2100</v>
      </c>
      <c r="F11">
        <v>420</v>
      </c>
      <c r="G11">
        <v>849</v>
      </c>
      <c r="H11">
        <v>0.83330000000000004</v>
      </c>
      <c r="I11">
        <v>0.71209999999999996</v>
      </c>
      <c r="J11">
        <v>0.76800000000000002</v>
      </c>
      <c r="K11" s="2"/>
    </row>
    <row r="12" spans="1:11" x14ac:dyDescent="0.3">
      <c r="A12" t="s">
        <v>28</v>
      </c>
      <c r="B12" t="s">
        <v>29</v>
      </c>
      <c r="C12">
        <v>791</v>
      </c>
      <c r="D12">
        <v>993</v>
      </c>
      <c r="E12">
        <v>660</v>
      </c>
      <c r="F12">
        <v>131</v>
      </c>
      <c r="G12">
        <v>333</v>
      </c>
      <c r="H12">
        <v>0.83440000000000003</v>
      </c>
      <c r="I12">
        <v>0.66469999999999996</v>
      </c>
      <c r="J12">
        <v>0.7399</v>
      </c>
      <c r="K12" s="2"/>
    </row>
    <row r="13" spans="1:11" x14ac:dyDescent="0.3">
      <c r="A13" t="s">
        <v>30</v>
      </c>
      <c r="B13" t="s">
        <v>31</v>
      </c>
      <c r="C13">
        <v>2522</v>
      </c>
      <c r="D13">
        <v>3051</v>
      </c>
      <c r="E13">
        <v>2102</v>
      </c>
      <c r="F13">
        <v>420</v>
      </c>
      <c r="G13">
        <v>949</v>
      </c>
      <c r="H13">
        <v>0.83330000000000004</v>
      </c>
      <c r="I13">
        <v>0.6885</v>
      </c>
      <c r="J13">
        <v>0.754</v>
      </c>
      <c r="K1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F8BF-6B0B-476D-A5F8-3840E7FF58AA}">
  <dimension ref="A2:K13"/>
  <sheetViews>
    <sheetView topLeftCell="A2" workbookViewId="0">
      <selection activeCell="A2" sqref="A2:J13"/>
    </sheetView>
  </sheetViews>
  <sheetFormatPr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3">
      <c r="A3" t="s">
        <v>10</v>
      </c>
      <c r="B3" t="s">
        <v>11</v>
      </c>
      <c r="C3">
        <v>1156</v>
      </c>
      <c r="D3">
        <v>1156</v>
      </c>
      <c r="E3">
        <v>1099</v>
      </c>
      <c r="F3">
        <v>57</v>
      </c>
      <c r="G3">
        <v>57</v>
      </c>
      <c r="H3">
        <v>0.95099999999999996</v>
      </c>
      <c r="I3">
        <v>0.95099999999999996</v>
      </c>
      <c r="J3">
        <v>0.95099999999999996</v>
      </c>
      <c r="K3" s="2"/>
    </row>
    <row r="4" spans="1:11" x14ac:dyDescent="0.3">
      <c r="A4" t="s">
        <v>12</v>
      </c>
      <c r="B4" t="s">
        <v>13</v>
      </c>
      <c r="C4">
        <v>2056</v>
      </c>
      <c r="D4">
        <v>2056</v>
      </c>
      <c r="E4">
        <v>1721</v>
      </c>
      <c r="F4">
        <v>335</v>
      </c>
      <c r="G4">
        <v>335</v>
      </c>
      <c r="H4">
        <v>0.83699999999999997</v>
      </c>
      <c r="I4">
        <v>0.83699999999999997</v>
      </c>
      <c r="J4">
        <v>0.83699999999999997</v>
      </c>
      <c r="K4" s="2"/>
    </row>
    <row r="5" spans="1:11" x14ac:dyDescent="0.3">
      <c r="A5" t="s">
        <v>14</v>
      </c>
      <c r="B5" t="s">
        <v>15</v>
      </c>
      <c r="C5">
        <v>2517</v>
      </c>
      <c r="D5">
        <v>2517</v>
      </c>
      <c r="E5">
        <v>2086</v>
      </c>
      <c r="F5">
        <v>431</v>
      </c>
      <c r="G5">
        <v>431</v>
      </c>
      <c r="H5">
        <v>0.82899999999999996</v>
      </c>
      <c r="I5">
        <v>0.82899999999999996</v>
      </c>
      <c r="J5">
        <v>0.82899999999999996</v>
      </c>
      <c r="K5" s="2"/>
    </row>
    <row r="6" spans="1:11" x14ac:dyDescent="0.3">
      <c r="A6" t="s">
        <v>16</v>
      </c>
      <c r="B6" t="s">
        <v>17</v>
      </c>
      <c r="C6">
        <v>1156</v>
      </c>
      <c r="D6">
        <v>1156</v>
      </c>
      <c r="E6">
        <v>973</v>
      </c>
      <c r="F6">
        <v>183</v>
      </c>
      <c r="G6">
        <v>183</v>
      </c>
      <c r="H6">
        <v>0.84099999999999997</v>
      </c>
      <c r="I6">
        <v>0.84099999999999997</v>
      </c>
      <c r="J6">
        <v>0.84099999999999997</v>
      </c>
      <c r="K6" s="2"/>
    </row>
    <row r="7" spans="1:11" x14ac:dyDescent="0.3">
      <c r="A7" t="s">
        <v>18</v>
      </c>
      <c r="B7" t="s">
        <v>19</v>
      </c>
      <c r="C7">
        <v>3879</v>
      </c>
      <c r="D7">
        <v>3879</v>
      </c>
      <c r="E7">
        <v>3157</v>
      </c>
      <c r="F7">
        <v>722</v>
      </c>
      <c r="G7">
        <v>722</v>
      </c>
      <c r="H7">
        <v>0.81399999999999995</v>
      </c>
      <c r="I7">
        <v>0.81399999999999995</v>
      </c>
      <c r="J7">
        <v>0.81399999999999995</v>
      </c>
      <c r="K7" s="2"/>
    </row>
    <row r="8" spans="1:11" x14ac:dyDescent="0.3">
      <c r="A8" t="s">
        <v>20</v>
      </c>
      <c r="B8" t="s">
        <v>21</v>
      </c>
      <c r="C8">
        <v>2517</v>
      </c>
      <c r="D8">
        <v>2517</v>
      </c>
      <c r="E8">
        <v>2103</v>
      </c>
      <c r="F8">
        <v>414</v>
      </c>
      <c r="G8">
        <v>414</v>
      </c>
      <c r="H8">
        <v>0.83599999999999997</v>
      </c>
      <c r="I8">
        <v>0.83599999999999997</v>
      </c>
      <c r="J8">
        <v>0.83599999999999997</v>
      </c>
      <c r="K8" s="2"/>
    </row>
    <row r="9" spans="1:11" x14ac:dyDescent="0.3">
      <c r="A9" t="s">
        <v>22</v>
      </c>
      <c r="B9" t="s">
        <v>23</v>
      </c>
      <c r="C9">
        <v>3879</v>
      </c>
      <c r="D9">
        <v>3879</v>
      </c>
      <c r="E9">
        <v>3231</v>
      </c>
      <c r="F9">
        <v>648</v>
      </c>
      <c r="G9">
        <v>648</v>
      </c>
      <c r="H9">
        <v>0.83299999999999996</v>
      </c>
      <c r="I9">
        <v>0.83299999999999996</v>
      </c>
      <c r="J9">
        <v>0.83299999999999996</v>
      </c>
      <c r="K9" s="2"/>
    </row>
    <row r="10" spans="1:11" x14ac:dyDescent="0.3">
      <c r="A10" t="s">
        <v>24</v>
      </c>
      <c r="B10" t="s">
        <v>25</v>
      </c>
      <c r="C10">
        <v>3208</v>
      </c>
      <c r="D10">
        <v>4278</v>
      </c>
      <c r="E10">
        <v>2246</v>
      </c>
      <c r="F10">
        <v>962</v>
      </c>
      <c r="G10">
        <v>2032</v>
      </c>
      <c r="H10">
        <v>0.7</v>
      </c>
      <c r="I10">
        <v>0.52500000000000002</v>
      </c>
      <c r="J10">
        <v>0.6</v>
      </c>
      <c r="K10" s="2"/>
    </row>
    <row r="11" spans="1:11" x14ac:dyDescent="0.3">
      <c r="A11" t="s">
        <v>26</v>
      </c>
      <c r="B11" t="s">
        <v>27</v>
      </c>
      <c r="C11">
        <v>6563</v>
      </c>
      <c r="D11">
        <v>6563</v>
      </c>
      <c r="E11">
        <v>4660</v>
      </c>
      <c r="F11">
        <v>1903</v>
      </c>
      <c r="G11">
        <v>1903</v>
      </c>
      <c r="H11">
        <v>0.71</v>
      </c>
      <c r="I11">
        <v>0.71</v>
      </c>
      <c r="J11">
        <v>0.71</v>
      </c>
      <c r="K11" s="2"/>
    </row>
    <row r="12" spans="1:11" x14ac:dyDescent="0.3">
      <c r="A12" t="s">
        <v>28</v>
      </c>
      <c r="B12" t="s">
        <v>29</v>
      </c>
      <c r="C12">
        <v>3208</v>
      </c>
      <c r="D12">
        <v>3208</v>
      </c>
      <c r="E12">
        <v>2271</v>
      </c>
      <c r="F12">
        <v>937</v>
      </c>
      <c r="G12">
        <v>937</v>
      </c>
      <c r="H12">
        <v>0.70799999999999996</v>
      </c>
      <c r="I12">
        <v>0.70799999999999996</v>
      </c>
      <c r="J12">
        <v>0.70799999999999996</v>
      </c>
      <c r="K12" s="2"/>
    </row>
    <row r="13" spans="1:11" x14ac:dyDescent="0.3">
      <c r="A13" t="s">
        <v>30</v>
      </c>
      <c r="B13" t="s">
        <v>31</v>
      </c>
      <c r="C13">
        <v>6563</v>
      </c>
      <c r="D13">
        <v>6563</v>
      </c>
      <c r="E13">
        <v>4717</v>
      </c>
      <c r="F13">
        <v>1846</v>
      </c>
      <c r="G13">
        <v>1846</v>
      </c>
      <c r="H13">
        <v>0.71899999999999997</v>
      </c>
      <c r="I13">
        <v>0.71899999999999997</v>
      </c>
      <c r="J13">
        <v>0.71899999999999997</v>
      </c>
      <c r="K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ED3-5EF9-4ABD-BF53-8A99E8E40D8F}">
  <dimension ref="A2:K13"/>
  <sheetViews>
    <sheetView workbookViewId="0">
      <selection activeCell="J18" sqref="J18"/>
    </sheetView>
  </sheetViews>
  <sheetFormatPr defaultRowHeight="14.4" x14ac:dyDescent="0.3"/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1" x14ac:dyDescent="0.3">
      <c r="A3" t="s">
        <v>10</v>
      </c>
      <c r="B3" t="s">
        <v>11</v>
      </c>
      <c r="C3">
        <v>55</v>
      </c>
      <c r="D3">
        <v>56</v>
      </c>
      <c r="E3">
        <v>49</v>
      </c>
      <c r="F3">
        <v>6</v>
      </c>
      <c r="G3">
        <v>7</v>
      </c>
      <c r="H3">
        <v>0.89090909090909087</v>
      </c>
      <c r="I3">
        <v>0.875</v>
      </c>
      <c r="J3">
        <v>0.88288288288288286</v>
      </c>
      <c r="K3" s="1"/>
    </row>
    <row r="4" spans="1:11" x14ac:dyDescent="0.3">
      <c r="A4" t="s">
        <v>12</v>
      </c>
      <c r="B4" t="s">
        <v>13</v>
      </c>
      <c r="C4">
        <v>107</v>
      </c>
      <c r="D4">
        <v>111</v>
      </c>
      <c r="E4">
        <v>92</v>
      </c>
      <c r="F4">
        <v>15</v>
      </c>
      <c r="G4">
        <v>19</v>
      </c>
      <c r="H4">
        <v>0.85981308411214952</v>
      </c>
      <c r="I4">
        <v>0.8288288288288288</v>
      </c>
      <c r="J4">
        <v>0.84403669724770647</v>
      </c>
      <c r="K4" s="1"/>
    </row>
    <row r="5" spans="1:11" x14ac:dyDescent="0.3">
      <c r="A5" t="s">
        <v>14</v>
      </c>
      <c r="B5" t="s">
        <v>15</v>
      </c>
      <c r="C5">
        <v>83</v>
      </c>
      <c r="D5">
        <v>85</v>
      </c>
      <c r="E5">
        <v>71</v>
      </c>
      <c r="F5">
        <v>12</v>
      </c>
      <c r="G5">
        <v>14</v>
      </c>
      <c r="H5">
        <v>0.85542168674698793</v>
      </c>
      <c r="I5">
        <v>0.83529411764705885</v>
      </c>
      <c r="J5">
        <v>0.84523809523809523</v>
      </c>
      <c r="K5" s="1"/>
    </row>
    <row r="6" spans="1:11" x14ac:dyDescent="0.3">
      <c r="A6" t="s">
        <v>16</v>
      </c>
      <c r="B6" t="s">
        <v>17</v>
      </c>
      <c r="C6">
        <v>69</v>
      </c>
      <c r="D6">
        <v>72</v>
      </c>
      <c r="E6">
        <v>60</v>
      </c>
      <c r="F6">
        <v>9</v>
      </c>
      <c r="G6">
        <v>12</v>
      </c>
      <c r="H6">
        <v>0.86956521739130432</v>
      </c>
      <c r="I6">
        <v>0.83333333333333337</v>
      </c>
      <c r="J6">
        <v>0.85106382978723405</v>
      </c>
      <c r="K6" s="1"/>
    </row>
    <row r="7" spans="1:11" x14ac:dyDescent="0.3">
      <c r="A7" t="s">
        <v>18</v>
      </c>
      <c r="B7" t="s">
        <v>19</v>
      </c>
      <c r="C7">
        <v>143</v>
      </c>
      <c r="D7">
        <v>149</v>
      </c>
      <c r="E7">
        <v>117</v>
      </c>
      <c r="F7">
        <v>26</v>
      </c>
      <c r="G7">
        <v>32</v>
      </c>
      <c r="H7">
        <v>0.81818181818181823</v>
      </c>
      <c r="I7">
        <v>0.78523489932885904</v>
      </c>
      <c r="J7">
        <v>0.80136986301369861</v>
      </c>
      <c r="K7" s="1"/>
    </row>
    <row r="8" spans="1:11" x14ac:dyDescent="0.3">
      <c r="A8" t="s">
        <v>20</v>
      </c>
      <c r="B8" t="s">
        <v>21</v>
      </c>
      <c r="C8">
        <v>88</v>
      </c>
      <c r="D8">
        <v>92</v>
      </c>
      <c r="E8">
        <v>74</v>
      </c>
      <c r="F8">
        <v>14</v>
      </c>
      <c r="G8">
        <v>18</v>
      </c>
      <c r="H8">
        <v>0.84090909090909094</v>
      </c>
      <c r="I8">
        <v>0.80434782608695654</v>
      </c>
      <c r="J8">
        <v>0.82222222222222219</v>
      </c>
      <c r="K8" s="1"/>
    </row>
    <row r="9" spans="1:11" x14ac:dyDescent="0.3">
      <c r="A9" t="s">
        <v>22</v>
      </c>
      <c r="B9" t="s">
        <v>23</v>
      </c>
      <c r="C9">
        <v>140</v>
      </c>
      <c r="D9">
        <v>146</v>
      </c>
      <c r="E9">
        <v>118</v>
      </c>
      <c r="F9">
        <v>22</v>
      </c>
      <c r="G9">
        <v>28</v>
      </c>
      <c r="H9">
        <v>0.84285714285714286</v>
      </c>
      <c r="I9">
        <v>0.80821917808219179</v>
      </c>
      <c r="J9">
        <v>0.82517482517482521</v>
      </c>
      <c r="K9" s="1"/>
    </row>
    <row r="10" spans="1:11" x14ac:dyDescent="0.3">
      <c r="A10" t="s">
        <v>24</v>
      </c>
      <c r="B10" t="s">
        <v>25</v>
      </c>
      <c r="C10">
        <v>167</v>
      </c>
      <c r="D10">
        <v>175</v>
      </c>
      <c r="E10">
        <v>115</v>
      </c>
      <c r="F10">
        <v>52</v>
      </c>
      <c r="G10">
        <v>60</v>
      </c>
      <c r="H10">
        <v>0.68862275449101795</v>
      </c>
      <c r="I10">
        <v>0.65714285714285714</v>
      </c>
      <c r="J10">
        <v>0.67251461988304095</v>
      </c>
      <c r="K10" s="1"/>
    </row>
    <row r="11" spans="1:11" x14ac:dyDescent="0.3">
      <c r="A11" t="s">
        <v>26</v>
      </c>
      <c r="B11" t="s">
        <v>27</v>
      </c>
      <c r="C11">
        <v>224</v>
      </c>
      <c r="D11">
        <v>234</v>
      </c>
      <c r="E11">
        <v>169</v>
      </c>
      <c r="F11">
        <v>55</v>
      </c>
      <c r="G11">
        <v>65</v>
      </c>
      <c r="H11">
        <v>0.7544642857142857</v>
      </c>
      <c r="I11">
        <v>0.72222222222222221</v>
      </c>
      <c r="J11">
        <v>0.73799126637554591</v>
      </c>
      <c r="K11" s="1"/>
    </row>
    <row r="12" spans="1:11" x14ac:dyDescent="0.3">
      <c r="A12" t="s">
        <v>28</v>
      </c>
      <c r="B12" t="s">
        <v>29</v>
      </c>
      <c r="C12">
        <v>119</v>
      </c>
      <c r="D12">
        <v>125</v>
      </c>
      <c r="E12">
        <v>85</v>
      </c>
      <c r="F12">
        <v>34</v>
      </c>
      <c r="G12">
        <v>40</v>
      </c>
      <c r="H12">
        <v>0.7142857142857143</v>
      </c>
      <c r="I12">
        <v>0.68</v>
      </c>
      <c r="J12">
        <v>0.69672131147540983</v>
      </c>
      <c r="K12" s="1"/>
    </row>
    <row r="13" spans="1:11" x14ac:dyDescent="0.3">
      <c r="A13" t="s">
        <v>30</v>
      </c>
      <c r="B13" t="s">
        <v>31</v>
      </c>
      <c r="C13">
        <v>192</v>
      </c>
      <c r="D13">
        <v>202</v>
      </c>
      <c r="E13">
        <v>147</v>
      </c>
      <c r="F13">
        <v>45</v>
      </c>
      <c r="G13">
        <v>55</v>
      </c>
      <c r="H13">
        <v>0.765625</v>
      </c>
      <c r="I13">
        <v>0.7277227722772277</v>
      </c>
      <c r="J13">
        <v>0.74619289340101524</v>
      </c>
      <c r="K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793D-263F-4136-9DB1-B64C4EA62949}">
  <dimension ref="A2:J13"/>
  <sheetViews>
    <sheetView workbookViewId="0">
      <selection activeCell="J24" sqref="J24"/>
    </sheetView>
  </sheetViews>
  <sheetFormatPr defaultRowHeight="14.4" x14ac:dyDescent="0.3"/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t="s">
        <v>10</v>
      </c>
      <c r="B3" t="s">
        <v>11</v>
      </c>
      <c r="C3">
        <v>1307</v>
      </c>
      <c r="D3">
        <v>1339</v>
      </c>
      <c r="E3">
        <v>1199</v>
      </c>
      <c r="F3">
        <v>108</v>
      </c>
      <c r="G3">
        <v>140</v>
      </c>
      <c r="H3">
        <v>0.91269999999999996</v>
      </c>
      <c r="I3">
        <v>0.88980000000000004</v>
      </c>
      <c r="J3">
        <v>0.91100000000000003</v>
      </c>
    </row>
    <row r="4" spans="1:10" x14ac:dyDescent="0.3">
      <c r="A4" t="s">
        <v>12</v>
      </c>
      <c r="B4" t="s">
        <v>13</v>
      </c>
      <c r="C4">
        <v>2364</v>
      </c>
      <c r="D4">
        <v>2420</v>
      </c>
      <c r="E4">
        <v>2125</v>
      </c>
      <c r="F4">
        <v>239</v>
      </c>
      <c r="G4">
        <v>295</v>
      </c>
      <c r="H4">
        <v>0.89900000000000002</v>
      </c>
      <c r="I4">
        <v>0.87809999999999999</v>
      </c>
      <c r="J4">
        <v>0.89900000000000002</v>
      </c>
    </row>
    <row r="5" spans="1:10" x14ac:dyDescent="0.3">
      <c r="A5" t="s">
        <v>14</v>
      </c>
      <c r="B5" t="s">
        <v>15</v>
      </c>
      <c r="C5">
        <v>2332</v>
      </c>
      <c r="D5">
        <v>2397</v>
      </c>
      <c r="E5">
        <v>1905</v>
      </c>
      <c r="F5">
        <v>427</v>
      </c>
      <c r="G5">
        <v>492</v>
      </c>
      <c r="H5">
        <v>0.81020000000000003</v>
      </c>
      <c r="I5">
        <v>0.78749999999999998</v>
      </c>
      <c r="J5">
        <v>0.81</v>
      </c>
    </row>
    <row r="6" spans="1:10" x14ac:dyDescent="0.3">
      <c r="A6" t="s">
        <v>16</v>
      </c>
      <c r="B6" t="s">
        <v>17</v>
      </c>
      <c r="C6">
        <v>1368</v>
      </c>
      <c r="D6">
        <v>1425</v>
      </c>
      <c r="E6">
        <v>1196</v>
      </c>
      <c r="F6">
        <v>172</v>
      </c>
      <c r="G6">
        <v>229</v>
      </c>
      <c r="H6">
        <v>0.86109999999999998</v>
      </c>
      <c r="I6">
        <v>0.82279999999999998</v>
      </c>
      <c r="J6">
        <v>0.86099999999999999</v>
      </c>
    </row>
    <row r="7" spans="1:10" x14ac:dyDescent="0.3">
      <c r="A7" t="s">
        <v>18</v>
      </c>
      <c r="B7" t="s">
        <v>19</v>
      </c>
      <c r="C7">
        <v>3922</v>
      </c>
      <c r="D7">
        <v>4035</v>
      </c>
      <c r="E7">
        <v>3281</v>
      </c>
      <c r="F7">
        <v>641</v>
      </c>
      <c r="G7">
        <v>754</v>
      </c>
      <c r="H7">
        <v>0.84730000000000005</v>
      </c>
      <c r="I7">
        <v>0.82489999999999997</v>
      </c>
      <c r="J7">
        <v>0.82399999999999995</v>
      </c>
    </row>
    <row r="8" spans="1:10" x14ac:dyDescent="0.3">
      <c r="A8" t="s">
        <v>20</v>
      </c>
      <c r="B8" t="s">
        <v>21</v>
      </c>
      <c r="C8">
        <v>2397</v>
      </c>
      <c r="D8">
        <v>2467</v>
      </c>
      <c r="E8">
        <v>1962</v>
      </c>
      <c r="F8">
        <v>435</v>
      </c>
      <c r="G8">
        <v>505</v>
      </c>
      <c r="H8">
        <v>0.80669999999999997</v>
      </c>
      <c r="I8">
        <v>0.78280000000000005</v>
      </c>
      <c r="J8">
        <v>0.80700000000000005</v>
      </c>
    </row>
    <row r="9" spans="1:10" x14ac:dyDescent="0.3">
      <c r="A9" t="s">
        <v>22</v>
      </c>
      <c r="B9" t="s">
        <v>23</v>
      </c>
      <c r="C9">
        <v>4414</v>
      </c>
      <c r="D9">
        <v>4532</v>
      </c>
      <c r="E9">
        <v>3527</v>
      </c>
      <c r="F9">
        <v>887</v>
      </c>
      <c r="G9">
        <v>1005</v>
      </c>
      <c r="H9">
        <v>0.78859999999999997</v>
      </c>
      <c r="I9">
        <v>0.76719999999999999</v>
      </c>
      <c r="J9">
        <v>0.78900000000000003</v>
      </c>
    </row>
    <row r="10" spans="1:10" x14ac:dyDescent="0.3">
      <c r="A10" t="s">
        <v>24</v>
      </c>
      <c r="B10" t="s">
        <v>25</v>
      </c>
      <c r="C10">
        <v>3802</v>
      </c>
      <c r="D10">
        <v>3879</v>
      </c>
      <c r="E10">
        <v>3355</v>
      </c>
      <c r="F10">
        <v>447</v>
      </c>
      <c r="G10">
        <v>524</v>
      </c>
      <c r="H10">
        <v>0.87309999999999999</v>
      </c>
      <c r="I10">
        <v>0.85440000000000005</v>
      </c>
      <c r="J10">
        <v>0.874</v>
      </c>
    </row>
    <row r="11" spans="1:10" x14ac:dyDescent="0.3">
      <c r="A11" t="s">
        <v>26</v>
      </c>
      <c r="B11" t="s">
        <v>27</v>
      </c>
      <c r="C11">
        <v>6434</v>
      </c>
      <c r="D11">
        <v>6559</v>
      </c>
      <c r="E11">
        <v>5118</v>
      </c>
      <c r="F11">
        <v>1316</v>
      </c>
      <c r="G11">
        <v>1441</v>
      </c>
      <c r="H11">
        <v>0.78690000000000004</v>
      </c>
      <c r="I11">
        <v>0.77129999999999999</v>
      </c>
      <c r="J11">
        <v>0.78700000000000003</v>
      </c>
    </row>
    <row r="12" spans="1:10" x14ac:dyDescent="0.3">
      <c r="A12" t="s">
        <v>28</v>
      </c>
      <c r="B12" t="s">
        <v>29</v>
      </c>
      <c r="C12">
        <v>3694</v>
      </c>
      <c r="D12">
        <v>3786</v>
      </c>
      <c r="E12">
        <v>2965</v>
      </c>
      <c r="F12">
        <v>729</v>
      </c>
      <c r="G12">
        <v>821</v>
      </c>
      <c r="H12">
        <v>0.79290000000000005</v>
      </c>
      <c r="I12">
        <v>0.77290000000000003</v>
      </c>
      <c r="J12">
        <v>0.79300000000000004</v>
      </c>
    </row>
    <row r="13" spans="1:10" x14ac:dyDescent="0.3">
      <c r="A13" t="s">
        <v>30</v>
      </c>
      <c r="B13" t="s">
        <v>31</v>
      </c>
      <c r="C13">
        <v>6475</v>
      </c>
      <c r="D13">
        <v>6650</v>
      </c>
      <c r="E13">
        <v>4979</v>
      </c>
      <c r="F13">
        <v>1496</v>
      </c>
      <c r="G13">
        <v>1671</v>
      </c>
      <c r="H13">
        <v>0.75800000000000001</v>
      </c>
      <c r="I13">
        <v>0.73699999999999999</v>
      </c>
      <c r="J13">
        <v>0.75800000000000001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0A6A-1040-4076-9C81-2FA8B37AFF0E}">
  <dimension ref="A1:K56"/>
  <sheetViews>
    <sheetView workbookViewId="0">
      <selection activeCell="P23" sqref="P23"/>
    </sheetView>
  </sheetViews>
  <sheetFormatPr defaultRowHeight="14.4" x14ac:dyDescent="0.3"/>
  <cols>
    <col min="1" max="1" width="11.6640625" style="3" bestFit="1" customWidth="1"/>
    <col min="2" max="2" width="10.6640625" style="3" bestFit="1" customWidth="1"/>
    <col min="3" max="3" width="7.44140625" style="3" bestFit="1" customWidth="1"/>
    <col min="4" max="4" width="5.88671875" style="3" bestFit="1" customWidth="1"/>
    <col min="5" max="5" width="6" style="3" bestFit="1" customWidth="1"/>
    <col min="6" max="8" width="5" style="3" bestFit="1" customWidth="1"/>
    <col min="9" max="9" width="8.5546875" style="3" bestFit="1" customWidth="1"/>
    <col min="10" max="11" width="7" style="3" bestFit="1" customWidth="1"/>
    <col min="12" max="16384" width="8.88671875" style="3"/>
  </cols>
  <sheetData>
    <row r="1" spans="1:11" x14ac:dyDescent="0.3">
      <c r="A1" s="3" t="s">
        <v>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">
      <c r="A2" s="5" t="s">
        <v>32</v>
      </c>
      <c r="B2" s="3" t="s">
        <v>10</v>
      </c>
      <c r="C2" s="3" t="s">
        <v>11</v>
      </c>
      <c r="D2" s="3">
        <v>2178</v>
      </c>
      <c r="E2" s="3">
        <v>2173</v>
      </c>
      <c r="F2" s="3">
        <v>1847</v>
      </c>
      <c r="G2" s="3">
        <v>331</v>
      </c>
      <c r="H2" s="3">
        <v>326</v>
      </c>
      <c r="I2" s="3">
        <v>0.84799999999999998</v>
      </c>
      <c r="J2" s="3">
        <v>0.85</v>
      </c>
      <c r="K2" s="3">
        <v>0.84899999999999998</v>
      </c>
    </row>
    <row r="3" spans="1:11" x14ac:dyDescent="0.3">
      <c r="A3" s="5"/>
      <c r="B3" s="4" t="s">
        <v>12</v>
      </c>
      <c r="C3" s="3" t="s">
        <v>13</v>
      </c>
      <c r="D3" s="3">
        <v>2177</v>
      </c>
      <c r="E3" s="3">
        <v>2823</v>
      </c>
      <c r="F3" s="3">
        <v>1960</v>
      </c>
      <c r="G3" s="3">
        <v>217</v>
      </c>
      <c r="H3" s="3">
        <v>863</v>
      </c>
      <c r="I3" s="3">
        <v>0.90029999999999999</v>
      </c>
      <c r="J3" s="3">
        <v>0.69430000000000003</v>
      </c>
      <c r="K3" s="3">
        <v>0.78400000000000003</v>
      </c>
    </row>
    <row r="4" spans="1:11" x14ac:dyDescent="0.3">
      <c r="A4" s="5"/>
      <c r="B4" s="4" t="s">
        <v>14</v>
      </c>
      <c r="C4" s="3" t="s">
        <v>15</v>
      </c>
      <c r="D4" s="3">
        <v>5246</v>
      </c>
      <c r="E4" s="3">
        <v>5754</v>
      </c>
      <c r="F4" s="3">
        <v>4587</v>
      </c>
      <c r="G4" s="3">
        <v>659</v>
      </c>
      <c r="H4" s="3">
        <v>1167</v>
      </c>
      <c r="I4" s="3">
        <v>0.87439999999999996</v>
      </c>
      <c r="J4" s="3">
        <v>0.79720000000000002</v>
      </c>
      <c r="K4" s="3">
        <v>0.83399999999999996</v>
      </c>
    </row>
    <row r="5" spans="1:11" x14ac:dyDescent="0.3">
      <c r="A5" s="5"/>
      <c r="B5" s="4" t="s">
        <v>16</v>
      </c>
      <c r="C5" s="3" t="s">
        <v>17</v>
      </c>
      <c r="D5" s="3">
        <v>2178</v>
      </c>
      <c r="E5" s="3">
        <v>2297</v>
      </c>
      <c r="F5" s="3">
        <v>1969</v>
      </c>
      <c r="G5" s="3">
        <v>209</v>
      </c>
      <c r="H5" s="3">
        <v>328</v>
      </c>
      <c r="I5" s="3">
        <v>0.90400000000000003</v>
      </c>
      <c r="J5" s="3">
        <v>0.85719999999999996</v>
      </c>
      <c r="K5" s="3">
        <v>0.88</v>
      </c>
    </row>
    <row r="6" spans="1:11" x14ac:dyDescent="0.3">
      <c r="A6" s="5"/>
      <c r="B6" s="4" t="s">
        <v>18</v>
      </c>
      <c r="C6" s="3" t="s">
        <v>19</v>
      </c>
      <c r="D6" s="3">
        <v>8239</v>
      </c>
      <c r="E6" s="3">
        <v>8961</v>
      </c>
      <c r="F6" s="3">
        <v>7353</v>
      </c>
      <c r="G6" s="3">
        <v>886</v>
      </c>
      <c r="H6" s="3">
        <v>1608</v>
      </c>
      <c r="I6" s="3">
        <v>0.89249999999999996</v>
      </c>
      <c r="J6" s="3">
        <v>0.8206</v>
      </c>
      <c r="K6" s="3">
        <v>0.85499999999999998</v>
      </c>
    </row>
    <row r="7" spans="1:11" x14ac:dyDescent="0.3">
      <c r="A7" s="5"/>
      <c r="B7" s="4" t="s">
        <v>20</v>
      </c>
      <c r="C7" s="3" t="s">
        <v>21</v>
      </c>
      <c r="D7" s="3">
        <v>5245</v>
      </c>
      <c r="E7" s="3">
        <v>4958</v>
      </c>
      <c r="F7" s="3">
        <v>4423</v>
      </c>
      <c r="G7" s="3">
        <v>822</v>
      </c>
      <c r="H7" s="3">
        <v>535</v>
      </c>
      <c r="I7" s="3">
        <v>0.84330000000000005</v>
      </c>
      <c r="J7" s="3">
        <v>0.8921</v>
      </c>
      <c r="K7" s="3">
        <v>0.86699999999999999</v>
      </c>
    </row>
    <row r="8" spans="1:11" x14ac:dyDescent="0.3">
      <c r="A8" s="5"/>
      <c r="B8" s="4" t="s">
        <v>22</v>
      </c>
      <c r="C8" s="3" t="s">
        <v>23</v>
      </c>
      <c r="D8" s="3">
        <v>8239</v>
      </c>
      <c r="E8" s="3">
        <v>8761</v>
      </c>
      <c r="F8" s="3">
        <v>7123</v>
      </c>
      <c r="G8" s="3">
        <v>1116</v>
      </c>
      <c r="H8" s="3">
        <v>1638</v>
      </c>
      <c r="I8" s="3">
        <v>0.86450000000000005</v>
      </c>
      <c r="J8" s="3">
        <v>0.81299999999999994</v>
      </c>
      <c r="K8" s="3">
        <v>0.83799999999999997</v>
      </c>
    </row>
    <row r="9" spans="1:11" x14ac:dyDescent="0.3">
      <c r="A9" s="5"/>
      <c r="B9" s="4" t="s">
        <v>24</v>
      </c>
      <c r="C9" s="3" t="s">
        <v>25</v>
      </c>
      <c r="D9" s="3">
        <v>2178</v>
      </c>
      <c r="E9" s="3">
        <v>3435</v>
      </c>
      <c r="F9" s="3">
        <v>1900</v>
      </c>
      <c r="G9" s="3">
        <v>278</v>
      </c>
      <c r="H9" s="3">
        <v>1535</v>
      </c>
      <c r="I9" s="3">
        <v>0.87239999999999995</v>
      </c>
      <c r="J9" s="3">
        <v>0.55310000000000004</v>
      </c>
      <c r="K9" s="3">
        <v>0.67700000000000005</v>
      </c>
    </row>
    <row r="10" spans="1:11" x14ac:dyDescent="0.3">
      <c r="A10" s="5"/>
      <c r="B10" s="4" t="s">
        <v>26</v>
      </c>
      <c r="C10" s="3" t="s">
        <v>27</v>
      </c>
      <c r="D10" s="3">
        <v>8250</v>
      </c>
      <c r="E10" s="3">
        <v>13750</v>
      </c>
      <c r="F10" s="3">
        <v>7403</v>
      </c>
      <c r="G10" s="3">
        <v>847</v>
      </c>
      <c r="H10" s="3">
        <v>6347</v>
      </c>
      <c r="I10" s="3">
        <v>0.89729999999999999</v>
      </c>
      <c r="J10" s="3">
        <v>0.53839999999999999</v>
      </c>
      <c r="K10" s="3">
        <v>0.67300000000000004</v>
      </c>
    </row>
    <row r="11" spans="1:11" x14ac:dyDescent="0.3">
      <c r="A11" s="5"/>
      <c r="B11" s="4" t="s">
        <v>28</v>
      </c>
      <c r="C11" s="3" t="s">
        <v>29</v>
      </c>
      <c r="D11" s="3">
        <v>2178</v>
      </c>
      <c r="E11" s="3">
        <v>3822</v>
      </c>
      <c r="F11" s="3">
        <v>1878</v>
      </c>
      <c r="G11" s="3">
        <v>300</v>
      </c>
      <c r="H11" s="3">
        <v>1944</v>
      </c>
      <c r="I11" s="3">
        <v>0.86229999999999996</v>
      </c>
      <c r="J11" s="3">
        <v>0.4914</v>
      </c>
      <c r="K11" s="3">
        <v>0.626</v>
      </c>
    </row>
    <row r="12" spans="1:11" x14ac:dyDescent="0.3">
      <c r="A12" s="5"/>
      <c r="B12" s="4" t="s">
        <v>30</v>
      </c>
      <c r="C12" s="3" t="s">
        <v>31</v>
      </c>
      <c r="D12" s="3">
        <v>8250</v>
      </c>
      <c r="E12" s="3">
        <v>14750</v>
      </c>
      <c r="F12" s="3">
        <v>7452</v>
      </c>
      <c r="G12" s="3">
        <v>798</v>
      </c>
      <c r="H12" s="3">
        <v>7298</v>
      </c>
      <c r="I12" s="3">
        <v>0.90329999999999999</v>
      </c>
      <c r="J12" s="3">
        <v>0.50519999999999998</v>
      </c>
      <c r="K12" s="3">
        <v>0.64800000000000002</v>
      </c>
    </row>
    <row r="13" spans="1:11" x14ac:dyDescent="0.3">
      <c r="A13" s="5" t="s">
        <v>75</v>
      </c>
      <c r="B13" s="4" t="s">
        <v>10</v>
      </c>
      <c r="C13" s="3" t="s">
        <v>11</v>
      </c>
      <c r="D13" s="3">
        <v>673</v>
      </c>
      <c r="E13" s="3">
        <v>623</v>
      </c>
      <c r="F13" s="3">
        <v>600</v>
      </c>
      <c r="G13" s="3">
        <v>73</v>
      </c>
      <c r="H13" s="3">
        <v>23</v>
      </c>
      <c r="I13" s="3">
        <v>0.89149999999999996</v>
      </c>
      <c r="J13" s="3">
        <v>0.96309999999999996</v>
      </c>
      <c r="K13" s="3">
        <v>0.93210000000000004</v>
      </c>
    </row>
    <row r="14" spans="1:11" x14ac:dyDescent="0.3">
      <c r="A14" s="5"/>
      <c r="B14" s="3" t="s">
        <v>12</v>
      </c>
      <c r="C14" s="3" t="s">
        <v>13</v>
      </c>
      <c r="D14" s="3">
        <v>785</v>
      </c>
      <c r="E14" s="3">
        <v>709</v>
      </c>
      <c r="F14" s="3">
        <v>655</v>
      </c>
      <c r="G14" s="3">
        <v>130</v>
      </c>
      <c r="H14" s="3">
        <v>54</v>
      </c>
      <c r="I14" s="3">
        <v>0.83440000000000003</v>
      </c>
      <c r="J14" s="3">
        <v>0.92379999999999995</v>
      </c>
      <c r="K14" s="3">
        <v>0.87680000000000002</v>
      </c>
    </row>
    <row r="15" spans="1:11" x14ac:dyDescent="0.3">
      <c r="A15" s="5"/>
      <c r="B15" s="3" t="s">
        <v>14</v>
      </c>
      <c r="C15" s="3" t="s">
        <v>15</v>
      </c>
      <c r="D15" s="3">
        <v>2169</v>
      </c>
      <c r="E15" s="3">
        <v>2226</v>
      </c>
      <c r="F15" s="3">
        <v>1971</v>
      </c>
      <c r="G15" s="3">
        <v>198</v>
      </c>
      <c r="H15" s="3">
        <v>255</v>
      </c>
      <c r="I15" s="3">
        <v>0.90869999999999995</v>
      </c>
      <c r="J15" s="3">
        <v>0.88539999999999996</v>
      </c>
      <c r="K15" s="3">
        <v>0.89690000000000003</v>
      </c>
    </row>
    <row r="16" spans="1:11" x14ac:dyDescent="0.3">
      <c r="A16" s="5"/>
      <c r="B16" s="3" t="s">
        <v>16</v>
      </c>
      <c r="C16" s="3" t="s">
        <v>17</v>
      </c>
      <c r="D16" s="3">
        <v>708</v>
      </c>
      <c r="E16" s="3">
        <v>707</v>
      </c>
      <c r="F16" s="3">
        <v>643</v>
      </c>
      <c r="G16" s="3">
        <v>65</v>
      </c>
      <c r="H16" s="3">
        <v>64</v>
      </c>
      <c r="I16" s="3">
        <v>0.90820000000000001</v>
      </c>
      <c r="J16" s="3">
        <v>0.90949999999999998</v>
      </c>
      <c r="K16" s="3">
        <v>0.90880000000000005</v>
      </c>
    </row>
    <row r="17" spans="1:11" x14ac:dyDescent="0.3">
      <c r="A17" s="5"/>
      <c r="B17" s="3" t="s">
        <v>18</v>
      </c>
      <c r="C17" s="3" t="s">
        <v>19</v>
      </c>
      <c r="D17" s="3">
        <v>2317</v>
      </c>
      <c r="E17" s="3">
        <v>2486</v>
      </c>
      <c r="F17" s="3">
        <v>1931</v>
      </c>
      <c r="G17" s="3">
        <v>386</v>
      </c>
      <c r="H17" s="3">
        <v>555</v>
      </c>
      <c r="I17" s="3">
        <v>0.83340000000000003</v>
      </c>
      <c r="J17" s="3">
        <v>0.77669999999999995</v>
      </c>
      <c r="K17" s="3">
        <v>0.80410000000000004</v>
      </c>
    </row>
    <row r="18" spans="1:11" x14ac:dyDescent="0.3">
      <c r="A18" s="5"/>
      <c r="B18" s="3" t="s">
        <v>20</v>
      </c>
      <c r="C18" s="3" t="s">
        <v>21</v>
      </c>
      <c r="D18" s="3">
        <v>2169</v>
      </c>
      <c r="E18" s="3">
        <v>2580</v>
      </c>
      <c r="F18" s="3">
        <v>1971</v>
      </c>
      <c r="G18" s="3">
        <v>198</v>
      </c>
      <c r="H18" s="3">
        <v>609</v>
      </c>
      <c r="I18" s="3">
        <v>0.90869999999999995</v>
      </c>
      <c r="J18" s="3">
        <v>0.76400000000000001</v>
      </c>
      <c r="K18" s="3">
        <v>0.83009999999999995</v>
      </c>
    </row>
    <row r="19" spans="1:11" x14ac:dyDescent="0.3">
      <c r="A19" s="5"/>
      <c r="B19" s="3" t="s">
        <v>22</v>
      </c>
      <c r="C19" s="3" t="s">
        <v>23</v>
      </c>
      <c r="D19" s="3">
        <v>2317</v>
      </c>
      <c r="E19" s="3">
        <v>2826</v>
      </c>
      <c r="F19" s="3">
        <v>2106</v>
      </c>
      <c r="G19" s="3">
        <v>211</v>
      </c>
      <c r="H19" s="3">
        <v>720</v>
      </c>
      <c r="I19" s="3">
        <v>0.90890000000000004</v>
      </c>
      <c r="J19" s="3">
        <v>0.74519999999999997</v>
      </c>
      <c r="K19" s="3">
        <v>0.81899999999999995</v>
      </c>
    </row>
    <row r="20" spans="1:11" x14ac:dyDescent="0.3">
      <c r="A20" s="5"/>
      <c r="B20" s="3" t="s">
        <v>24</v>
      </c>
      <c r="C20" s="3" t="s">
        <v>25</v>
      </c>
      <c r="D20" s="3">
        <v>791</v>
      </c>
      <c r="E20" s="3">
        <v>1162</v>
      </c>
      <c r="F20" s="3">
        <v>660</v>
      </c>
      <c r="G20" s="3">
        <v>131</v>
      </c>
      <c r="H20" s="3">
        <v>502</v>
      </c>
      <c r="I20" s="3">
        <v>0.83440000000000003</v>
      </c>
      <c r="J20" s="3">
        <v>0.56799999999999995</v>
      </c>
      <c r="K20" s="3">
        <v>0.67589999999999995</v>
      </c>
    </row>
    <row r="21" spans="1:11" x14ac:dyDescent="0.3">
      <c r="A21" s="5"/>
      <c r="B21" s="3" t="s">
        <v>26</v>
      </c>
      <c r="C21" s="3" t="s">
        <v>27</v>
      </c>
      <c r="D21" s="3">
        <v>2520</v>
      </c>
      <c r="E21" s="3">
        <v>2949</v>
      </c>
      <c r="F21" s="3">
        <v>2100</v>
      </c>
      <c r="G21" s="3">
        <v>420</v>
      </c>
      <c r="H21" s="3">
        <v>849</v>
      </c>
      <c r="I21" s="3">
        <v>0.83330000000000004</v>
      </c>
      <c r="J21" s="3">
        <v>0.71209999999999996</v>
      </c>
      <c r="K21" s="3">
        <v>0.76800000000000002</v>
      </c>
    </row>
    <row r="22" spans="1:11" x14ac:dyDescent="0.3">
      <c r="A22" s="5"/>
      <c r="B22" s="3" t="s">
        <v>28</v>
      </c>
      <c r="C22" s="3" t="s">
        <v>29</v>
      </c>
      <c r="D22" s="3">
        <v>791</v>
      </c>
      <c r="E22" s="3">
        <v>993</v>
      </c>
      <c r="F22" s="3">
        <v>660</v>
      </c>
      <c r="G22" s="3">
        <v>131</v>
      </c>
      <c r="H22" s="3">
        <v>333</v>
      </c>
      <c r="I22" s="3">
        <v>0.83440000000000003</v>
      </c>
      <c r="J22" s="3">
        <v>0.66469999999999996</v>
      </c>
      <c r="K22" s="3">
        <v>0.7399</v>
      </c>
    </row>
    <row r="23" spans="1:11" x14ac:dyDescent="0.3">
      <c r="A23" s="5"/>
      <c r="B23" s="3" t="s">
        <v>30</v>
      </c>
      <c r="C23" s="3" t="s">
        <v>31</v>
      </c>
      <c r="D23" s="3">
        <v>2522</v>
      </c>
      <c r="E23" s="3">
        <v>3051</v>
      </c>
      <c r="F23" s="3">
        <v>2102</v>
      </c>
      <c r="G23" s="3">
        <v>420</v>
      </c>
      <c r="H23" s="3">
        <v>949</v>
      </c>
      <c r="I23" s="3">
        <v>0.83330000000000004</v>
      </c>
      <c r="J23" s="3">
        <v>0.6885</v>
      </c>
      <c r="K23" s="3">
        <v>0.754</v>
      </c>
    </row>
    <row r="24" spans="1:11" x14ac:dyDescent="0.3">
      <c r="A24" s="5" t="s">
        <v>34</v>
      </c>
      <c r="B24" s="3" t="s">
        <v>10</v>
      </c>
      <c r="C24" s="3" t="s">
        <v>11</v>
      </c>
      <c r="D24" s="3">
        <v>1156</v>
      </c>
      <c r="E24" s="3">
        <v>1156</v>
      </c>
      <c r="F24" s="3">
        <v>1099</v>
      </c>
      <c r="G24" s="3">
        <v>57</v>
      </c>
      <c r="H24" s="3">
        <v>57</v>
      </c>
      <c r="I24" s="3">
        <v>0.95099999999999996</v>
      </c>
      <c r="J24" s="3">
        <v>0.95099999999999996</v>
      </c>
      <c r="K24" s="3">
        <v>0.95099999999999996</v>
      </c>
    </row>
    <row r="25" spans="1:11" x14ac:dyDescent="0.3">
      <c r="A25" s="5"/>
      <c r="B25" s="3" t="s">
        <v>12</v>
      </c>
      <c r="C25" s="3" t="s">
        <v>13</v>
      </c>
      <c r="D25" s="3">
        <v>2056</v>
      </c>
      <c r="E25" s="3">
        <v>2056</v>
      </c>
      <c r="F25" s="3">
        <v>1721</v>
      </c>
      <c r="G25" s="3">
        <v>335</v>
      </c>
      <c r="H25" s="3">
        <v>335</v>
      </c>
      <c r="I25" s="3">
        <v>0.83699999999999997</v>
      </c>
      <c r="J25" s="3">
        <v>0.83699999999999997</v>
      </c>
      <c r="K25" s="3">
        <v>0.83699999999999997</v>
      </c>
    </row>
    <row r="26" spans="1:11" x14ac:dyDescent="0.3">
      <c r="A26" s="5"/>
      <c r="B26" s="3" t="s">
        <v>14</v>
      </c>
      <c r="C26" s="3" t="s">
        <v>15</v>
      </c>
      <c r="D26" s="3">
        <v>2517</v>
      </c>
      <c r="E26" s="3">
        <v>2517</v>
      </c>
      <c r="F26" s="3">
        <v>2086</v>
      </c>
      <c r="G26" s="3">
        <v>431</v>
      </c>
      <c r="H26" s="3">
        <v>431</v>
      </c>
      <c r="I26" s="3">
        <v>0.82899999999999996</v>
      </c>
      <c r="J26" s="3">
        <v>0.82899999999999996</v>
      </c>
      <c r="K26" s="3">
        <v>0.82899999999999996</v>
      </c>
    </row>
    <row r="27" spans="1:11" x14ac:dyDescent="0.3">
      <c r="A27" s="5"/>
      <c r="B27" s="3" t="s">
        <v>16</v>
      </c>
      <c r="C27" s="3" t="s">
        <v>17</v>
      </c>
      <c r="D27" s="3">
        <v>1156</v>
      </c>
      <c r="E27" s="3">
        <v>1156</v>
      </c>
      <c r="F27" s="3">
        <v>973</v>
      </c>
      <c r="G27" s="3">
        <v>183</v>
      </c>
      <c r="H27" s="3">
        <v>183</v>
      </c>
      <c r="I27" s="3">
        <v>0.84099999999999997</v>
      </c>
      <c r="J27" s="3">
        <v>0.84099999999999997</v>
      </c>
      <c r="K27" s="3">
        <v>0.84099999999999997</v>
      </c>
    </row>
    <row r="28" spans="1:11" x14ac:dyDescent="0.3">
      <c r="A28" s="5"/>
      <c r="B28" s="3" t="s">
        <v>18</v>
      </c>
      <c r="C28" s="3" t="s">
        <v>19</v>
      </c>
      <c r="D28" s="3">
        <v>3879</v>
      </c>
      <c r="E28" s="3">
        <v>3879</v>
      </c>
      <c r="F28" s="3">
        <v>3157</v>
      </c>
      <c r="G28" s="3">
        <v>722</v>
      </c>
      <c r="H28" s="3">
        <v>722</v>
      </c>
      <c r="I28" s="3">
        <v>0.81399999999999995</v>
      </c>
      <c r="J28" s="3">
        <v>0.81399999999999995</v>
      </c>
      <c r="K28" s="3">
        <v>0.81399999999999995</v>
      </c>
    </row>
    <row r="29" spans="1:11" x14ac:dyDescent="0.3">
      <c r="A29" s="5"/>
      <c r="B29" s="3" t="s">
        <v>20</v>
      </c>
      <c r="C29" s="3" t="s">
        <v>21</v>
      </c>
      <c r="D29" s="3">
        <v>2517</v>
      </c>
      <c r="E29" s="3">
        <v>2517</v>
      </c>
      <c r="F29" s="3">
        <v>2103</v>
      </c>
      <c r="G29" s="3">
        <v>414</v>
      </c>
      <c r="H29" s="3">
        <v>414</v>
      </c>
      <c r="I29" s="3">
        <v>0.83599999999999997</v>
      </c>
      <c r="J29" s="3">
        <v>0.83599999999999997</v>
      </c>
      <c r="K29" s="3">
        <v>0.83599999999999997</v>
      </c>
    </row>
    <row r="30" spans="1:11" x14ac:dyDescent="0.3">
      <c r="A30" s="5"/>
      <c r="B30" s="3" t="s">
        <v>22</v>
      </c>
      <c r="C30" s="3" t="s">
        <v>23</v>
      </c>
      <c r="D30" s="3">
        <v>3879</v>
      </c>
      <c r="E30" s="3">
        <v>3879</v>
      </c>
      <c r="F30" s="3">
        <v>3231</v>
      </c>
      <c r="G30" s="3">
        <v>648</v>
      </c>
      <c r="H30" s="3">
        <v>648</v>
      </c>
      <c r="I30" s="3">
        <v>0.83299999999999996</v>
      </c>
      <c r="J30" s="3">
        <v>0.83299999999999996</v>
      </c>
      <c r="K30" s="3">
        <v>0.83299999999999996</v>
      </c>
    </row>
    <row r="31" spans="1:11" x14ac:dyDescent="0.3">
      <c r="A31" s="5"/>
      <c r="B31" s="3" t="s">
        <v>24</v>
      </c>
      <c r="C31" s="3" t="s">
        <v>25</v>
      </c>
      <c r="D31" s="3">
        <v>3208</v>
      </c>
      <c r="E31" s="3">
        <v>4278</v>
      </c>
      <c r="F31" s="3">
        <v>2246</v>
      </c>
      <c r="G31" s="3">
        <v>962</v>
      </c>
      <c r="H31" s="3">
        <v>2032</v>
      </c>
      <c r="I31" s="3">
        <v>0.7</v>
      </c>
      <c r="J31" s="3">
        <v>0.52500000000000002</v>
      </c>
      <c r="K31" s="3">
        <v>0.6</v>
      </c>
    </row>
    <row r="32" spans="1:11" x14ac:dyDescent="0.3">
      <c r="A32" s="5"/>
      <c r="B32" s="3" t="s">
        <v>26</v>
      </c>
      <c r="C32" s="3" t="s">
        <v>27</v>
      </c>
      <c r="D32" s="3">
        <v>6563</v>
      </c>
      <c r="E32" s="3">
        <v>6563</v>
      </c>
      <c r="F32" s="3">
        <v>4660</v>
      </c>
      <c r="G32" s="3">
        <v>1903</v>
      </c>
      <c r="H32" s="3">
        <v>1903</v>
      </c>
      <c r="I32" s="3">
        <v>0.71</v>
      </c>
      <c r="J32" s="3">
        <v>0.71</v>
      </c>
      <c r="K32" s="3">
        <v>0.71</v>
      </c>
    </row>
    <row r="33" spans="1:11" x14ac:dyDescent="0.3">
      <c r="A33" s="5"/>
      <c r="B33" s="3" t="s">
        <v>28</v>
      </c>
      <c r="C33" s="3" t="s">
        <v>29</v>
      </c>
      <c r="D33" s="3">
        <v>3208</v>
      </c>
      <c r="E33" s="3">
        <v>3208</v>
      </c>
      <c r="F33" s="3">
        <v>2271</v>
      </c>
      <c r="G33" s="3">
        <v>937</v>
      </c>
      <c r="H33" s="3">
        <v>937</v>
      </c>
      <c r="I33" s="3">
        <v>0.70799999999999996</v>
      </c>
      <c r="J33" s="3">
        <v>0.70799999999999996</v>
      </c>
      <c r="K33" s="3">
        <v>0.70799999999999996</v>
      </c>
    </row>
    <row r="34" spans="1:11" x14ac:dyDescent="0.3">
      <c r="A34" s="5"/>
      <c r="B34" s="3" t="s">
        <v>30</v>
      </c>
      <c r="C34" s="3" t="s">
        <v>31</v>
      </c>
      <c r="D34" s="3">
        <v>6563</v>
      </c>
      <c r="E34" s="3">
        <v>6563</v>
      </c>
      <c r="F34" s="3">
        <v>4717</v>
      </c>
      <c r="G34" s="3">
        <v>1846</v>
      </c>
      <c r="H34" s="3">
        <v>1846</v>
      </c>
      <c r="I34" s="3">
        <v>0.71899999999999997</v>
      </c>
      <c r="J34" s="3">
        <v>0.71899999999999997</v>
      </c>
      <c r="K34" s="3">
        <v>0.71899999999999997</v>
      </c>
    </row>
    <row r="35" spans="1:11" x14ac:dyDescent="0.3">
      <c r="A35" s="5" t="s">
        <v>76</v>
      </c>
      <c r="B35" s="3" t="s">
        <v>10</v>
      </c>
      <c r="C35" s="3" t="s">
        <v>11</v>
      </c>
      <c r="D35" s="3">
        <v>55</v>
      </c>
      <c r="E35" s="3">
        <v>56</v>
      </c>
      <c r="F35" s="3">
        <v>49</v>
      </c>
      <c r="G35" s="3">
        <v>6</v>
      </c>
      <c r="H35" s="3">
        <v>7</v>
      </c>
      <c r="I35" s="3">
        <v>0.89090000000000003</v>
      </c>
      <c r="J35" s="3">
        <v>0.875</v>
      </c>
      <c r="K35" s="3">
        <v>0.88290000000000002</v>
      </c>
    </row>
    <row r="36" spans="1:11" x14ac:dyDescent="0.3">
      <c r="A36" s="5"/>
      <c r="B36" s="3" t="s">
        <v>12</v>
      </c>
      <c r="C36" s="3" t="s">
        <v>13</v>
      </c>
      <c r="D36" s="3">
        <v>107</v>
      </c>
      <c r="E36" s="3">
        <v>111</v>
      </c>
      <c r="F36" s="3">
        <v>92</v>
      </c>
      <c r="G36" s="3">
        <v>15</v>
      </c>
      <c r="H36" s="3">
        <v>19</v>
      </c>
      <c r="I36" s="3">
        <v>0.85980000000000001</v>
      </c>
      <c r="J36" s="3">
        <v>0.82879999999999998</v>
      </c>
      <c r="K36" s="3">
        <v>0.84399999999999997</v>
      </c>
    </row>
    <row r="37" spans="1:11" x14ac:dyDescent="0.3">
      <c r="A37" s="5"/>
      <c r="B37" s="3" t="s">
        <v>14</v>
      </c>
      <c r="C37" s="3" t="s">
        <v>15</v>
      </c>
      <c r="D37" s="3">
        <v>83</v>
      </c>
      <c r="E37" s="3">
        <v>85</v>
      </c>
      <c r="F37" s="3">
        <v>71</v>
      </c>
      <c r="G37" s="3">
        <v>12</v>
      </c>
      <c r="H37" s="3">
        <v>14</v>
      </c>
      <c r="I37" s="3">
        <v>0.85540000000000005</v>
      </c>
      <c r="J37" s="3">
        <v>0.83530000000000004</v>
      </c>
      <c r="K37" s="3">
        <v>0.84519999999999995</v>
      </c>
    </row>
    <row r="38" spans="1:11" x14ac:dyDescent="0.3">
      <c r="A38" s="5"/>
      <c r="B38" s="3" t="s">
        <v>16</v>
      </c>
      <c r="C38" s="3" t="s">
        <v>17</v>
      </c>
      <c r="D38" s="3">
        <v>69</v>
      </c>
      <c r="E38" s="3">
        <v>72</v>
      </c>
      <c r="F38" s="3">
        <v>60</v>
      </c>
      <c r="G38" s="3">
        <v>9</v>
      </c>
      <c r="H38" s="3">
        <v>12</v>
      </c>
      <c r="I38" s="3">
        <v>0.86960000000000004</v>
      </c>
      <c r="J38" s="3">
        <v>0.83330000000000004</v>
      </c>
      <c r="K38" s="3">
        <v>0.85109999999999997</v>
      </c>
    </row>
    <row r="39" spans="1:11" x14ac:dyDescent="0.3">
      <c r="A39" s="5"/>
      <c r="B39" s="3" t="s">
        <v>18</v>
      </c>
      <c r="C39" s="3" t="s">
        <v>19</v>
      </c>
      <c r="D39" s="3">
        <v>143</v>
      </c>
      <c r="E39" s="3">
        <v>149</v>
      </c>
      <c r="F39" s="3">
        <v>117</v>
      </c>
      <c r="G39" s="3">
        <v>26</v>
      </c>
      <c r="H39" s="3">
        <v>32</v>
      </c>
      <c r="I39" s="3">
        <v>0.81820000000000004</v>
      </c>
      <c r="J39" s="3">
        <v>0.78520000000000001</v>
      </c>
      <c r="K39" s="3">
        <v>0.8014</v>
      </c>
    </row>
    <row r="40" spans="1:11" x14ac:dyDescent="0.3">
      <c r="A40" s="5"/>
      <c r="B40" s="3" t="s">
        <v>20</v>
      </c>
      <c r="C40" s="3" t="s">
        <v>21</v>
      </c>
      <c r="D40" s="3">
        <v>88</v>
      </c>
      <c r="E40" s="3">
        <v>92</v>
      </c>
      <c r="F40" s="3">
        <v>74</v>
      </c>
      <c r="G40" s="3">
        <v>14</v>
      </c>
      <c r="H40" s="3">
        <v>18</v>
      </c>
      <c r="I40" s="3">
        <v>0.84089999999999998</v>
      </c>
      <c r="J40" s="3">
        <v>0.80430000000000001</v>
      </c>
      <c r="K40" s="3">
        <v>0.82220000000000004</v>
      </c>
    </row>
    <row r="41" spans="1:11" x14ac:dyDescent="0.3">
      <c r="A41" s="5"/>
      <c r="B41" s="3" t="s">
        <v>22</v>
      </c>
      <c r="C41" s="3" t="s">
        <v>23</v>
      </c>
      <c r="D41" s="3">
        <v>140</v>
      </c>
      <c r="E41" s="3">
        <v>146</v>
      </c>
      <c r="F41" s="3">
        <v>118</v>
      </c>
      <c r="G41" s="3">
        <v>22</v>
      </c>
      <c r="H41" s="3">
        <v>28</v>
      </c>
      <c r="I41" s="3">
        <v>0.84289999999999998</v>
      </c>
      <c r="J41" s="3">
        <v>0.80820000000000003</v>
      </c>
      <c r="K41" s="3">
        <v>0.82520000000000004</v>
      </c>
    </row>
    <row r="42" spans="1:11" x14ac:dyDescent="0.3">
      <c r="A42" s="5"/>
      <c r="B42" s="3" t="s">
        <v>24</v>
      </c>
      <c r="C42" s="3" t="s">
        <v>25</v>
      </c>
      <c r="D42" s="3">
        <v>167</v>
      </c>
      <c r="E42" s="3">
        <v>175</v>
      </c>
      <c r="F42" s="3">
        <v>115</v>
      </c>
      <c r="G42" s="3">
        <v>52</v>
      </c>
      <c r="H42" s="3">
        <v>60</v>
      </c>
      <c r="I42" s="3">
        <v>0.68859999999999999</v>
      </c>
      <c r="J42" s="3">
        <v>0.65710000000000002</v>
      </c>
      <c r="K42" s="3">
        <v>0.67249999999999999</v>
      </c>
    </row>
    <row r="43" spans="1:11" x14ac:dyDescent="0.3">
      <c r="A43" s="5"/>
      <c r="B43" s="3" t="s">
        <v>26</v>
      </c>
      <c r="C43" s="3" t="s">
        <v>27</v>
      </c>
      <c r="D43" s="3">
        <v>224</v>
      </c>
      <c r="E43" s="3">
        <v>234</v>
      </c>
      <c r="F43" s="3">
        <v>169</v>
      </c>
      <c r="G43" s="3">
        <v>55</v>
      </c>
      <c r="H43" s="3">
        <v>65</v>
      </c>
      <c r="I43" s="3">
        <v>0.75449999999999995</v>
      </c>
      <c r="J43" s="3">
        <v>0.72219999999999995</v>
      </c>
      <c r="K43" s="3">
        <v>0.73799999999999999</v>
      </c>
    </row>
    <row r="44" spans="1:11" x14ac:dyDescent="0.3">
      <c r="A44" s="5"/>
      <c r="B44" s="3" t="s">
        <v>28</v>
      </c>
      <c r="C44" s="3" t="s">
        <v>29</v>
      </c>
      <c r="D44" s="3">
        <v>119</v>
      </c>
      <c r="E44" s="3">
        <v>125</v>
      </c>
      <c r="F44" s="3">
        <v>85</v>
      </c>
      <c r="G44" s="3">
        <v>34</v>
      </c>
      <c r="H44" s="3">
        <v>40</v>
      </c>
      <c r="I44" s="3">
        <v>0.71430000000000005</v>
      </c>
      <c r="J44" s="3">
        <v>0.68</v>
      </c>
      <c r="K44" s="3">
        <v>0.69669999999999999</v>
      </c>
    </row>
    <row r="45" spans="1:11" x14ac:dyDescent="0.3">
      <c r="A45" s="5"/>
      <c r="B45" s="3" t="s">
        <v>30</v>
      </c>
      <c r="C45" s="3" t="s">
        <v>31</v>
      </c>
      <c r="D45" s="3">
        <v>192</v>
      </c>
      <c r="E45" s="3">
        <v>202</v>
      </c>
      <c r="F45" s="3">
        <v>147</v>
      </c>
      <c r="G45" s="3">
        <v>45</v>
      </c>
      <c r="H45" s="3">
        <v>55</v>
      </c>
      <c r="I45" s="3">
        <v>0.76559999999999995</v>
      </c>
      <c r="J45" s="3">
        <v>0.72770000000000001</v>
      </c>
      <c r="K45" s="3">
        <v>0.74619999999999997</v>
      </c>
    </row>
    <row r="46" spans="1:11" x14ac:dyDescent="0.3">
      <c r="A46" s="5" t="s">
        <v>77</v>
      </c>
      <c r="B46" s="3" t="s">
        <v>10</v>
      </c>
      <c r="C46" s="3" t="s">
        <v>11</v>
      </c>
      <c r="D46" s="3">
        <v>1307</v>
      </c>
      <c r="E46" s="3">
        <v>1339</v>
      </c>
      <c r="F46" s="3">
        <v>1199</v>
      </c>
      <c r="G46" s="3">
        <v>108</v>
      </c>
      <c r="H46" s="3">
        <v>140</v>
      </c>
      <c r="I46" s="3">
        <v>0.91269999999999996</v>
      </c>
      <c r="J46" s="3">
        <v>0.88980000000000004</v>
      </c>
      <c r="K46" s="3">
        <v>0.91100000000000003</v>
      </c>
    </row>
    <row r="47" spans="1:11" x14ac:dyDescent="0.3">
      <c r="A47" s="5"/>
      <c r="B47" s="3" t="s">
        <v>12</v>
      </c>
      <c r="C47" s="3" t="s">
        <v>13</v>
      </c>
      <c r="D47" s="3">
        <v>2364</v>
      </c>
      <c r="E47" s="3">
        <v>2420</v>
      </c>
      <c r="F47" s="3">
        <v>2125</v>
      </c>
      <c r="G47" s="3">
        <v>239</v>
      </c>
      <c r="H47" s="3">
        <v>295</v>
      </c>
      <c r="I47" s="3">
        <v>0.89900000000000002</v>
      </c>
      <c r="J47" s="3">
        <v>0.87809999999999999</v>
      </c>
      <c r="K47" s="3">
        <v>0.89900000000000002</v>
      </c>
    </row>
    <row r="48" spans="1:11" x14ac:dyDescent="0.3">
      <c r="A48" s="5"/>
      <c r="B48" s="3" t="s">
        <v>14</v>
      </c>
      <c r="C48" s="3" t="s">
        <v>15</v>
      </c>
      <c r="D48" s="3">
        <v>2332</v>
      </c>
      <c r="E48" s="3">
        <v>2397</v>
      </c>
      <c r="F48" s="3">
        <v>1905</v>
      </c>
      <c r="G48" s="3">
        <v>427</v>
      </c>
      <c r="H48" s="3">
        <v>492</v>
      </c>
      <c r="I48" s="3">
        <v>0.81020000000000003</v>
      </c>
      <c r="J48" s="3">
        <v>0.78749999999999998</v>
      </c>
      <c r="K48" s="3">
        <v>0.81</v>
      </c>
    </row>
    <row r="49" spans="1:11" x14ac:dyDescent="0.3">
      <c r="A49" s="5"/>
      <c r="B49" s="3" t="s">
        <v>16</v>
      </c>
      <c r="C49" s="3" t="s">
        <v>17</v>
      </c>
      <c r="D49" s="3">
        <v>1368</v>
      </c>
      <c r="E49" s="3">
        <v>1425</v>
      </c>
      <c r="F49" s="3">
        <v>1196</v>
      </c>
      <c r="G49" s="3">
        <v>172</v>
      </c>
      <c r="H49" s="3">
        <v>229</v>
      </c>
      <c r="I49" s="3">
        <v>0.86109999999999998</v>
      </c>
      <c r="J49" s="3">
        <v>0.82279999999999998</v>
      </c>
      <c r="K49" s="3">
        <v>0.86099999999999999</v>
      </c>
    </row>
    <row r="50" spans="1:11" x14ac:dyDescent="0.3">
      <c r="A50" s="5"/>
      <c r="B50" s="3" t="s">
        <v>18</v>
      </c>
      <c r="C50" s="3" t="s">
        <v>19</v>
      </c>
      <c r="D50" s="3">
        <v>3922</v>
      </c>
      <c r="E50" s="3">
        <v>4035</v>
      </c>
      <c r="F50" s="3">
        <v>3281</v>
      </c>
      <c r="G50" s="3">
        <v>641</v>
      </c>
      <c r="H50" s="3">
        <v>754</v>
      </c>
      <c r="I50" s="3">
        <v>0.84730000000000005</v>
      </c>
      <c r="J50" s="3">
        <v>0.82489999999999997</v>
      </c>
      <c r="K50" s="3">
        <v>0.82399999999999995</v>
      </c>
    </row>
    <row r="51" spans="1:11" x14ac:dyDescent="0.3">
      <c r="A51" s="5"/>
      <c r="B51" s="3" t="s">
        <v>20</v>
      </c>
      <c r="C51" s="3" t="s">
        <v>21</v>
      </c>
      <c r="D51" s="3">
        <v>2397</v>
      </c>
      <c r="E51" s="3">
        <v>2467</v>
      </c>
      <c r="F51" s="3">
        <v>1962</v>
      </c>
      <c r="G51" s="3">
        <v>435</v>
      </c>
      <c r="H51" s="3">
        <v>505</v>
      </c>
      <c r="I51" s="3">
        <v>0.80669999999999997</v>
      </c>
      <c r="J51" s="3">
        <v>0.78280000000000005</v>
      </c>
      <c r="K51" s="3">
        <v>0.80700000000000005</v>
      </c>
    </row>
    <row r="52" spans="1:11" x14ac:dyDescent="0.3">
      <c r="A52" s="5"/>
      <c r="B52" s="3" t="s">
        <v>22</v>
      </c>
      <c r="C52" s="3" t="s">
        <v>23</v>
      </c>
      <c r="D52" s="3">
        <v>4414</v>
      </c>
      <c r="E52" s="3">
        <v>4532</v>
      </c>
      <c r="F52" s="3">
        <v>3527</v>
      </c>
      <c r="G52" s="3">
        <v>887</v>
      </c>
      <c r="H52" s="3">
        <v>1005</v>
      </c>
      <c r="I52" s="3">
        <v>0.78859999999999997</v>
      </c>
      <c r="J52" s="3">
        <v>0.76719999999999999</v>
      </c>
      <c r="K52" s="3">
        <v>0.78900000000000003</v>
      </c>
    </row>
    <row r="53" spans="1:11" x14ac:dyDescent="0.3">
      <c r="A53" s="5"/>
      <c r="B53" s="3" t="s">
        <v>24</v>
      </c>
      <c r="C53" s="3" t="s">
        <v>25</v>
      </c>
      <c r="D53" s="3">
        <v>3802</v>
      </c>
      <c r="E53" s="3">
        <v>3879</v>
      </c>
      <c r="F53" s="3">
        <v>3355</v>
      </c>
      <c r="G53" s="3">
        <v>447</v>
      </c>
      <c r="H53" s="3">
        <v>524</v>
      </c>
      <c r="I53" s="3">
        <v>0.87309999999999999</v>
      </c>
      <c r="J53" s="3">
        <v>0.85440000000000005</v>
      </c>
      <c r="K53" s="3">
        <v>0.874</v>
      </c>
    </row>
    <row r="54" spans="1:11" x14ac:dyDescent="0.3">
      <c r="A54" s="5"/>
      <c r="B54" s="3" t="s">
        <v>26</v>
      </c>
      <c r="C54" s="3" t="s">
        <v>27</v>
      </c>
      <c r="D54" s="3">
        <v>6434</v>
      </c>
      <c r="E54" s="3">
        <v>6559</v>
      </c>
      <c r="F54" s="3">
        <v>5118</v>
      </c>
      <c r="G54" s="3">
        <v>1316</v>
      </c>
      <c r="H54" s="3">
        <v>1441</v>
      </c>
      <c r="I54" s="3">
        <v>0.78690000000000004</v>
      </c>
      <c r="J54" s="3">
        <v>0.77129999999999999</v>
      </c>
      <c r="K54" s="3">
        <v>0.78700000000000003</v>
      </c>
    </row>
    <row r="55" spans="1:11" x14ac:dyDescent="0.3">
      <c r="A55" s="5"/>
      <c r="B55" s="3" t="s">
        <v>28</v>
      </c>
      <c r="C55" s="3" t="s">
        <v>29</v>
      </c>
      <c r="D55" s="3">
        <v>3694</v>
      </c>
      <c r="E55" s="3">
        <v>3786</v>
      </c>
      <c r="F55" s="3">
        <v>2965</v>
      </c>
      <c r="G55" s="3">
        <v>729</v>
      </c>
      <c r="H55" s="3">
        <v>821</v>
      </c>
      <c r="I55" s="3">
        <v>0.79290000000000005</v>
      </c>
      <c r="J55" s="3">
        <v>0.77290000000000003</v>
      </c>
      <c r="K55" s="3">
        <v>0.79300000000000004</v>
      </c>
    </row>
    <row r="56" spans="1:11" x14ac:dyDescent="0.3">
      <c r="A56" s="5"/>
      <c r="B56" s="3" t="s">
        <v>30</v>
      </c>
      <c r="C56" s="3" t="s">
        <v>31</v>
      </c>
      <c r="D56" s="3">
        <v>6475</v>
      </c>
      <c r="E56" s="3">
        <v>6650</v>
      </c>
      <c r="F56" s="3">
        <v>4979</v>
      </c>
      <c r="G56" s="3">
        <v>1496</v>
      </c>
      <c r="H56" s="3">
        <v>1671</v>
      </c>
      <c r="I56" s="3">
        <v>0.75800000000000001</v>
      </c>
      <c r="J56" s="3">
        <v>0.73699999999999999</v>
      </c>
      <c r="K56" s="3">
        <v>0.75800000000000001</v>
      </c>
    </row>
  </sheetData>
  <mergeCells count="5">
    <mergeCell ref="A2:A12"/>
    <mergeCell ref="A13:A23"/>
    <mergeCell ref="A24:A34"/>
    <mergeCell ref="A35:A45"/>
    <mergeCell ref="A46:A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A527-4F0F-4825-B40E-8CFB2461FD62}">
  <dimension ref="A1:AO12"/>
  <sheetViews>
    <sheetView workbookViewId="0">
      <selection sqref="A1:AO12"/>
    </sheetView>
  </sheetViews>
  <sheetFormatPr defaultRowHeight="14.4" x14ac:dyDescent="0.3"/>
  <sheetData>
    <row r="1" spans="1:41" x14ac:dyDescent="0.3">
      <c r="A1" t="s">
        <v>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</row>
    <row r="2" spans="1:41" x14ac:dyDescent="0.3">
      <c r="A2" t="s">
        <v>10</v>
      </c>
      <c r="B2">
        <v>2178</v>
      </c>
      <c r="C2">
        <v>2173</v>
      </c>
      <c r="D2">
        <v>1847</v>
      </c>
      <c r="E2">
        <v>331</v>
      </c>
      <c r="F2">
        <v>326</v>
      </c>
      <c r="G2">
        <v>0.84799999999999998</v>
      </c>
      <c r="H2">
        <v>0.85</v>
      </c>
      <c r="I2">
        <v>0.84899999999999998</v>
      </c>
      <c r="J2">
        <v>673</v>
      </c>
      <c r="K2">
        <v>623</v>
      </c>
      <c r="L2">
        <v>600</v>
      </c>
      <c r="M2">
        <v>73</v>
      </c>
      <c r="N2">
        <v>23</v>
      </c>
      <c r="O2">
        <v>0.89149999999999996</v>
      </c>
      <c r="P2">
        <v>0.96309999999999996</v>
      </c>
      <c r="Q2">
        <v>0.93210000000000004</v>
      </c>
      <c r="R2">
        <v>1156</v>
      </c>
      <c r="S2">
        <v>1156</v>
      </c>
      <c r="T2">
        <v>1099</v>
      </c>
      <c r="U2">
        <v>57</v>
      </c>
      <c r="V2">
        <v>57</v>
      </c>
      <c r="W2">
        <v>0.95099999999999996</v>
      </c>
      <c r="X2">
        <v>0.95099999999999996</v>
      </c>
      <c r="Y2">
        <v>0.95099999999999996</v>
      </c>
      <c r="Z2">
        <v>55</v>
      </c>
      <c r="AA2">
        <v>56</v>
      </c>
      <c r="AB2">
        <v>49</v>
      </c>
      <c r="AC2">
        <v>6</v>
      </c>
      <c r="AD2">
        <v>7</v>
      </c>
      <c r="AE2">
        <v>0.89090000000000003</v>
      </c>
      <c r="AF2">
        <v>0.875</v>
      </c>
      <c r="AG2">
        <v>0.88290000000000002</v>
      </c>
      <c r="AH2">
        <v>1307</v>
      </c>
      <c r="AI2">
        <v>1339</v>
      </c>
      <c r="AJ2">
        <v>1199</v>
      </c>
      <c r="AK2">
        <v>108</v>
      </c>
      <c r="AL2">
        <v>140</v>
      </c>
      <c r="AM2">
        <v>0.91269999999999996</v>
      </c>
      <c r="AN2">
        <v>0.88980000000000004</v>
      </c>
      <c r="AO2">
        <v>0.91100000000000003</v>
      </c>
    </row>
    <row r="3" spans="1:41" x14ac:dyDescent="0.3">
      <c r="A3" t="s">
        <v>12</v>
      </c>
      <c r="B3">
        <v>2177</v>
      </c>
      <c r="C3">
        <v>2823</v>
      </c>
      <c r="D3">
        <v>1960</v>
      </c>
      <c r="E3">
        <v>217</v>
      </c>
      <c r="F3">
        <v>863</v>
      </c>
      <c r="G3">
        <v>0.90029999999999999</v>
      </c>
      <c r="H3">
        <v>0.69430000000000003</v>
      </c>
      <c r="I3">
        <v>0.78400000000000003</v>
      </c>
      <c r="J3">
        <v>785</v>
      </c>
      <c r="K3">
        <v>709</v>
      </c>
      <c r="L3">
        <v>655</v>
      </c>
      <c r="M3">
        <v>130</v>
      </c>
      <c r="N3">
        <v>54</v>
      </c>
      <c r="O3">
        <v>0.83440000000000003</v>
      </c>
      <c r="P3">
        <v>0.92379999999999995</v>
      </c>
      <c r="Q3">
        <v>0.87680000000000002</v>
      </c>
      <c r="R3">
        <v>2056</v>
      </c>
      <c r="S3">
        <v>2056</v>
      </c>
      <c r="T3">
        <v>1721</v>
      </c>
      <c r="U3">
        <v>335</v>
      </c>
      <c r="V3">
        <v>335</v>
      </c>
      <c r="W3">
        <v>0.83699999999999997</v>
      </c>
      <c r="X3">
        <v>0.83699999999999997</v>
      </c>
      <c r="Y3">
        <v>0.83699999999999997</v>
      </c>
      <c r="Z3">
        <v>107</v>
      </c>
      <c r="AA3">
        <v>111</v>
      </c>
      <c r="AB3">
        <v>92</v>
      </c>
      <c r="AC3">
        <v>15</v>
      </c>
      <c r="AD3">
        <v>19</v>
      </c>
      <c r="AE3">
        <v>0.85980000000000001</v>
      </c>
      <c r="AF3">
        <v>0.82879999999999998</v>
      </c>
      <c r="AG3">
        <v>0.84399999999999997</v>
      </c>
      <c r="AH3">
        <v>2364</v>
      </c>
      <c r="AI3">
        <v>2420</v>
      </c>
      <c r="AJ3">
        <v>2125</v>
      </c>
      <c r="AK3">
        <v>239</v>
      </c>
      <c r="AL3">
        <v>295</v>
      </c>
      <c r="AM3">
        <v>0.89900000000000002</v>
      </c>
      <c r="AN3">
        <v>0.87809999999999999</v>
      </c>
      <c r="AO3">
        <v>0.89900000000000002</v>
      </c>
    </row>
    <row r="4" spans="1:41" x14ac:dyDescent="0.3">
      <c r="A4" t="s">
        <v>14</v>
      </c>
      <c r="B4">
        <v>5246</v>
      </c>
      <c r="C4">
        <v>5754</v>
      </c>
      <c r="D4">
        <v>4587</v>
      </c>
      <c r="E4">
        <v>659</v>
      </c>
      <c r="F4">
        <v>1167</v>
      </c>
      <c r="G4">
        <v>0.87439999999999996</v>
      </c>
      <c r="H4">
        <v>0.79720000000000002</v>
      </c>
      <c r="I4">
        <v>0.83399999999999996</v>
      </c>
      <c r="J4">
        <v>2169</v>
      </c>
      <c r="K4">
        <v>2226</v>
      </c>
      <c r="L4">
        <v>1971</v>
      </c>
      <c r="M4">
        <v>198</v>
      </c>
      <c r="N4">
        <v>255</v>
      </c>
      <c r="O4">
        <v>0.90869999999999995</v>
      </c>
      <c r="P4">
        <v>0.88539999999999996</v>
      </c>
      <c r="Q4">
        <v>0.89690000000000003</v>
      </c>
      <c r="R4">
        <v>2517</v>
      </c>
      <c r="S4">
        <v>2517</v>
      </c>
      <c r="T4">
        <v>2086</v>
      </c>
      <c r="U4">
        <v>431</v>
      </c>
      <c r="V4">
        <v>431</v>
      </c>
      <c r="W4">
        <v>0.82899999999999996</v>
      </c>
      <c r="X4">
        <v>0.82899999999999996</v>
      </c>
      <c r="Y4">
        <v>0.82899999999999996</v>
      </c>
      <c r="Z4">
        <v>83</v>
      </c>
      <c r="AA4">
        <v>85</v>
      </c>
      <c r="AB4">
        <v>71</v>
      </c>
      <c r="AC4">
        <v>12</v>
      </c>
      <c r="AD4">
        <v>14</v>
      </c>
      <c r="AE4">
        <v>0.85540000000000005</v>
      </c>
      <c r="AF4">
        <v>0.83530000000000004</v>
      </c>
      <c r="AG4">
        <v>0.84519999999999995</v>
      </c>
      <c r="AH4">
        <v>2332</v>
      </c>
      <c r="AI4">
        <v>2397</v>
      </c>
      <c r="AJ4">
        <v>1905</v>
      </c>
      <c r="AK4">
        <v>427</v>
      </c>
      <c r="AL4">
        <v>492</v>
      </c>
      <c r="AM4">
        <v>0.81020000000000003</v>
      </c>
      <c r="AN4">
        <v>0.78749999999999998</v>
      </c>
      <c r="AO4">
        <v>0.81</v>
      </c>
    </row>
    <row r="5" spans="1:41" x14ac:dyDescent="0.3">
      <c r="A5" t="s">
        <v>16</v>
      </c>
      <c r="B5">
        <v>2178</v>
      </c>
      <c r="C5">
        <v>2297</v>
      </c>
      <c r="D5">
        <v>1969</v>
      </c>
      <c r="E5">
        <v>209</v>
      </c>
      <c r="F5">
        <v>328</v>
      </c>
      <c r="G5">
        <v>0.90400000000000003</v>
      </c>
      <c r="H5">
        <v>0.85719999999999996</v>
      </c>
      <c r="I5">
        <v>0.88</v>
      </c>
      <c r="J5">
        <v>708</v>
      </c>
      <c r="K5">
        <v>707</v>
      </c>
      <c r="L5">
        <v>643</v>
      </c>
      <c r="M5">
        <v>65</v>
      </c>
      <c r="N5">
        <v>64</v>
      </c>
      <c r="O5">
        <v>0.90820000000000001</v>
      </c>
      <c r="P5">
        <v>0.90949999999999998</v>
      </c>
      <c r="Q5">
        <v>0.90880000000000005</v>
      </c>
      <c r="R5">
        <v>1156</v>
      </c>
      <c r="S5">
        <v>1156</v>
      </c>
      <c r="T5">
        <v>973</v>
      </c>
      <c r="U5">
        <v>183</v>
      </c>
      <c r="V5">
        <v>183</v>
      </c>
      <c r="W5">
        <v>0.84099999999999997</v>
      </c>
      <c r="X5">
        <v>0.84099999999999997</v>
      </c>
      <c r="Y5">
        <v>0.84099999999999997</v>
      </c>
      <c r="Z5">
        <v>69</v>
      </c>
      <c r="AA5">
        <v>72</v>
      </c>
      <c r="AB5">
        <v>60</v>
      </c>
      <c r="AC5">
        <v>9</v>
      </c>
      <c r="AD5">
        <v>12</v>
      </c>
      <c r="AE5">
        <v>0.86960000000000004</v>
      </c>
      <c r="AF5">
        <v>0.83330000000000004</v>
      </c>
      <c r="AG5">
        <v>0.85109999999999997</v>
      </c>
      <c r="AH5">
        <v>1368</v>
      </c>
      <c r="AI5">
        <v>1425</v>
      </c>
      <c r="AJ5">
        <v>1196</v>
      </c>
      <c r="AK5">
        <v>172</v>
      </c>
      <c r="AL5">
        <v>229</v>
      </c>
      <c r="AM5">
        <v>0.86109999999999998</v>
      </c>
      <c r="AN5">
        <v>0.82279999999999998</v>
      </c>
      <c r="AO5">
        <v>0.86099999999999999</v>
      </c>
    </row>
    <row r="6" spans="1:41" x14ac:dyDescent="0.3">
      <c r="A6" t="s">
        <v>18</v>
      </c>
      <c r="B6">
        <v>8239</v>
      </c>
      <c r="C6">
        <v>8961</v>
      </c>
      <c r="D6">
        <v>7353</v>
      </c>
      <c r="E6">
        <v>886</v>
      </c>
      <c r="F6">
        <v>1608</v>
      </c>
      <c r="G6">
        <v>0.89249999999999996</v>
      </c>
      <c r="H6">
        <v>0.8206</v>
      </c>
      <c r="I6">
        <v>0.85499999999999998</v>
      </c>
      <c r="J6">
        <v>2317</v>
      </c>
      <c r="K6">
        <v>2486</v>
      </c>
      <c r="L6">
        <v>1931</v>
      </c>
      <c r="M6">
        <v>386</v>
      </c>
      <c r="N6">
        <v>555</v>
      </c>
      <c r="O6">
        <v>0.83340000000000003</v>
      </c>
      <c r="P6">
        <v>0.77669999999999995</v>
      </c>
      <c r="Q6">
        <v>0.80410000000000004</v>
      </c>
      <c r="R6">
        <v>3879</v>
      </c>
      <c r="S6">
        <v>3879</v>
      </c>
      <c r="T6">
        <v>3157</v>
      </c>
      <c r="U6">
        <v>722</v>
      </c>
      <c r="V6">
        <v>722</v>
      </c>
      <c r="W6">
        <v>0.81399999999999995</v>
      </c>
      <c r="X6">
        <v>0.81399999999999995</v>
      </c>
      <c r="Y6">
        <v>0.81399999999999995</v>
      </c>
      <c r="Z6">
        <v>143</v>
      </c>
      <c r="AA6">
        <v>149</v>
      </c>
      <c r="AB6">
        <v>117</v>
      </c>
      <c r="AC6">
        <v>26</v>
      </c>
      <c r="AD6">
        <v>32</v>
      </c>
      <c r="AE6">
        <v>0.81820000000000004</v>
      </c>
      <c r="AF6">
        <v>0.78520000000000001</v>
      </c>
      <c r="AG6">
        <v>0.8014</v>
      </c>
      <c r="AH6">
        <v>3922</v>
      </c>
      <c r="AI6">
        <v>4035</v>
      </c>
      <c r="AJ6">
        <v>3281</v>
      </c>
      <c r="AK6">
        <v>641</v>
      </c>
      <c r="AL6">
        <v>754</v>
      </c>
      <c r="AM6">
        <v>0.84730000000000005</v>
      </c>
      <c r="AN6">
        <v>0.82489999999999997</v>
      </c>
      <c r="AO6">
        <v>0.82399999999999995</v>
      </c>
    </row>
    <row r="7" spans="1:41" x14ac:dyDescent="0.3">
      <c r="A7" t="s">
        <v>20</v>
      </c>
      <c r="B7">
        <v>5245</v>
      </c>
      <c r="C7">
        <v>4958</v>
      </c>
      <c r="D7">
        <v>4423</v>
      </c>
      <c r="E7">
        <v>822</v>
      </c>
      <c r="F7">
        <v>535</v>
      </c>
      <c r="G7">
        <v>0.84330000000000005</v>
      </c>
      <c r="H7">
        <v>0.8921</v>
      </c>
      <c r="I7">
        <v>0.86699999999999999</v>
      </c>
      <c r="J7">
        <v>2169</v>
      </c>
      <c r="K7">
        <v>2580</v>
      </c>
      <c r="L7">
        <v>1971</v>
      </c>
      <c r="M7">
        <v>198</v>
      </c>
      <c r="N7">
        <v>609</v>
      </c>
      <c r="O7">
        <v>0.90869999999999995</v>
      </c>
      <c r="P7">
        <v>0.76400000000000001</v>
      </c>
      <c r="Q7">
        <v>0.83009999999999995</v>
      </c>
      <c r="R7">
        <v>2517</v>
      </c>
      <c r="S7">
        <v>2517</v>
      </c>
      <c r="T7">
        <v>2103</v>
      </c>
      <c r="U7">
        <v>414</v>
      </c>
      <c r="V7">
        <v>414</v>
      </c>
      <c r="W7">
        <v>0.83599999999999997</v>
      </c>
      <c r="X7">
        <v>0.83599999999999997</v>
      </c>
      <c r="Y7">
        <v>0.83599999999999997</v>
      </c>
      <c r="Z7">
        <v>88</v>
      </c>
      <c r="AA7">
        <v>92</v>
      </c>
      <c r="AB7">
        <v>74</v>
      </c>
      <c r="AC7">
        <v>14</v>
      </c>
      <c r="AD7">
        <v>18</v>
      </c>
      <c r="AE7">
        <v>0.84089999999999998</v>
      </c>
      <c r="AF7">
        <v>0.80430000000000001</v>
      </c>
      <c r="AG7">
        <v>0.82220000000000004</v>
      </c>
      <c r="AH7">
        <v>2397</v>
      </c>
      <c r="AI7">
        <v>2467</v>
      </c>
      <c r="AJ7">
        <v>1962</v>
      </c>
      <c r="AK7">
        <v>435</v>
      </c>
      <c r="AL7">
        <v>505</v>
      </c>
      <c r="AM7">
        <v>0.80669999999999997</v>
      </c>
      <c r="AN7">
        <v>0.78280000000000005</v>
      </c>
      <c r="AO7">
        <v>0.80700000000000005</v>
      </c>
    </row>
    <row r="8" spans="1:41" x14ac:dyDescent="0.3">
      <c r="A8" t="s">
        <v>22</v>
      </c>
      <c r="B8">
        <v>8239</v>
      </c>
      <c r="C8">
        <v>8761</v>
      </c>
      <c r="D8">
        <v>7123</v>
      </c>
      <c r="E8">
        <v>1116</v>
      </c>
      <c r="F8">
        <v>1638</v>
      </c>
      <c r="G8">
        <v>0.86450000000000005</v>
      </c>
      <c r="H8">
        <v>0.81299999999999994</v>
      </c>
      <c r="I8">
        <v>0.83799999999999997</v>
      </c>
      <c r="J8">
        <v>2317</v>
      </c>
      <c r="K8">
        <v>2826</v>
      </c>
      <c r="L8">
        <v>2106</v>
      </c>
      <c r="M8">
        <v>211</v>
      </c>
      <c r="N8">
        <v>720</v>
      </c>
      <c r="O8">
        <v>0.90890000000000004</v>
      </c>
      <c r="P8">
        <v>0.74519999999999997</v>
      </c>
      <c r="Q8">
        <v>0.81899999999999995</v>
      </c>
      <c r="R8">
        <v>3879</v>
      </c>
      <c r="S8">
        <v>3879</v>
      </c>
      <c r="T8">
        <v>3231</v>
      </c>
      <c r="U8">
        <v>648</v>
      </c>
      <c r="V8">
        <v>648</v>
      </c>
      <c r="W8">
        <v>0.83299999999999996</v>
      </c>
      <c r="X8">
        <v>0.83299999999999996</v>
      </c>
      <c r="Y8">
        <v>0.83299999999999996</v>
      </c>
      <c r="Z8">
        <v>140</v>
      </c>
      <c r="AA8">
        <v>146</v>
      </c>
      <c r="AB8">
        <v>118</v>
      </c>
      <c r="AC8">
        <v>22</v>
      </c>
      <c r="AD8">
        <v>28</v>
      </c>
      <c r="AE8">
        <v>0.84289999999999998</v>
      </c>
      <c r="AF8">
        <v>0.80820000000000003</v>
      </c>
      <c r="AG8">
        <v>0.82520000000000004</v>
      </c>
      <c r="AH8">
        <v>4414</v>
      </c>
      <c r="AI8">
        <v>4532</v>
      </c>
      <c r="AJ8">
        <v>3527</v>
      </c>
      <c r="AK8">
        <v>887</v>
      </c>
      <c r="AL8">
        <v>1005</v>
      </c>
      <c r="AM8">
        <v>0.78859999999999997</v>
      </c>
      <c r="AN8">
        <v>0.76719999999999999</v>
      </c>
      <c r="AO8">
        <v>0.78900000000000003</v>
      </c>
    </row>
    <row r="9" spans="1:41" x14ac:dyDescent="0.3">
      <c r="A9" t="s">
        <v>24</v>
      </c>
      <c r="B9">
        <v>2178</v>
      </c>
      <c r="C9">
        <v>3435</v>
      </c>
      <c r="D9">
        <v>1900</v>
      </c>
      <c r="E9">
        <v>278</v>
      </c>
      <c r="F9">
        <v>1535</v>
      </c>
      <c r="G9">
        <v>0.87239999999999995</v>
      </c>
      <c r="H9">
        <v>0.55310000000000004</v>
      </c>
      <c r="I9">
        <v>0.67700000000000005</v>
      </c>
      <c r="J9">
        <v>791</v>
      </c>
      <c r="K9">
        <v>1162</v>
      </c>
      <c r="L9">
        <v>660</v>
      </c>
      <c r="M9">
        <v>131</v>
      </c>
      <c r="N9">
        <v>502</v>
      </c>
      <c r="O9">
        <v>0.83440000000000003</v>
      </c>
      <c r="P9">
        <v>0.56799999999999995</v>
      </c>
      <c r="Q9">
        <v>0.67589999999999995</v>
      </c>
      <c r="R9">
        <v>3208</v>
      </c>
      <c r="S9">
        <v>4278</v>
      </c>
      <c r="T9">
        <v>2246</v>
      </c>
      <c r="U9">
        <v>962</v>
      </c>
      <c r="V9">
        <v>2032</v>
      </c>
      <c r="W9">
        <v>0.7</v>
      </c>
      <c r="X9">
        <v>0.52500000000000002</v>
      </c>
      <c r="Y9">
        <v>0.6</v>
      </c>
      <c r="Z9">
        <v>167</v>
      </c>
      <c r="AA9">
        <v>175</v>
      </c>
      <c r="AB9">
        <v>115</v>
      </c>
      <c r="AC9">
        <v>52</v>
      </c>
      <c r="AD9">
        <v>60</v>
      </c>
      <c r="AE9">
        <v>0.68859999999999999</v>
      </c>
      <c r="AF9">
        <v>0.65710000000000002</v>
      </c>
      <c r="AG9">
        <v>0.67249999999999999</v>
      </c>
      <c r="AH9">
        <v>3802</v>
      </c>
      <c r="AI9">
        <v>3879</v>
      </c>
      <c r="AJ9">
        <v>3355</v>
      </c>
      <c r="AK9">
        <v>447</v>
      </c>
      <c r="AL9">
        <v>524</v>
      </c>
      <c r="AM9">
        <v>0.87309999999999999</v>
      </c>
      <c r="AN9">
        <v>0.85440000000000005</v>
      </c>
      <c r="AO9">
        <v>0.874</v>
      </c>
    </row>
    <row r="10" spans="1:41" x14ac:dyDescent="0.3">
      <c r="A10" t="s">
        <v>26</v>
      </c>
      <c r="B10">
        <v>8250</v>
      </c>
      <c r="C10">
        <v>13750</v>
      </c>
      <c r="D10">
        <v>7403</v>
      </c>
      <c r="E10">
        <v>847</v>
      </c>
      <c r="F10">
        <v>6347</v>
      </c>
      <c r="G10">
        <v>0.89729999999999999</v>
      </c>
      <c r="H10">
        <v>0.53839999999999999</v>
      </c>
      <c r="I10">
        <v>0.67300000000000004</v>
      </c>
      <c r="J10">
        <v>2520</v>
      </c>
      <c r="K10">
        <v>2949</v>
      </c>
      <c r="L10">
        <v>2100</v>
      </c>
      <c r="M10">
        <v>420</v>
      </c>
      <c r="N10">
        <v>849</v>
      </c>
      <c r="O10">
        <v>0.83330000000000004</v>
      </c>
      <c r="P10">
        <v>0.71209999999999996</v>
      </c>
      <c r="Q10">
        <v>0.76800000000000002</v>
      </c>
      <c r="R10">
        <v>6563</v>
      </c>
      <c r="S10">
        <v>6563</v>
      </c>
      <c r="T10">
        <v>4660</v>
      </c>
      <c r="U10">
        <v>1903</v>
      </c>
      <c r="V10">
        <v>1903</v>
      </c>
      <c r="W10">
        <v>0.71</v>
      </c>
      <c r="X10">
        <v>0.71</v>
      </c>
      <c r="Y10">
        <v>0.71</v>
      </c>
      <c r="Z10">
        <v>224</v>
      </c>
      <c r="AA10">
        <v>234</v>
      </c>
      <c r="AB10">
        <v>169</v>
      </c>
      <c r="AC10">
        <v>55</v>
      </c>
      <c r="AD10">
        <v>65</v>
      </c>
      <c r="AE10">
        <v>0.75449999999999995</v>
      </c>
      <c r="AF10">
        <v>0.72219999999999995</v>
      </c>
      <c r="AG10">
        <v>0.73799999999999999</v>
      </c>
      <c r="AH10">
        <v>6434</v>
      </c>
      <c r="AI10">
        <v>6559</v>
      </c>
      <c r="AJ10">
        <v>5118</v>
      </c>
      <c r="AK10">
        <v>1316</v>
      </c>
      <c r="AL10">
        <v>1441</v>
      </c>
      <c r="AM10">
        <v>0.78690000000000004</v>
      </c>
      <c r="AN10">
        <v>0.77129999999999999</v>
      </c>
      <c r="AO10">
        <v>0.78700000000000003</v>
      </c>
    </row>
    <row r="11" spans="1:41" x14ac:dyDescent="0.3">
      <c r="A11" t="s">
        <v>28</v>
      </c>
      <c r="B11">
        <v>2178</v>
      </c>
      <c r="C11">
        <v>3822</v>
      </c>
      <c r="D11">
        <v>1878</v>
      </c>
      <c r="E11">
        <v>300</v>
      </c>
      <c r="F11">
        <v>1944</v>
      </c>
      <c r="G11">
        <v>0.86229999999999996</v>
      </c>
      <c r="H11">
        <v>0.4914</v>
      </c>
      <c r="I11">
        <v>0.626</v>
      </c>
      <c r="J11">
        <v>791</v>
      </c>
      <c r="K11">
        <v>993</v>
      </c>
      <c r="L11">
        <v>660</v>
      </c>
      <c r="M11">
        <v>131</v>
      </c>
      <c r="N11">
        <v>333</v>
      </c>
      <c r="O11">
        <v>0.83440000000000003</v>
      </c>
      <c r="P11">
        <v>0.66469999999999996</v>
      </c>
      <c r="Q11">
        <v>0.7399</v>
      </c>
      <c r="R11">
        <v>3208</v>
      </c>
      <c r="S11">
        <v>3208</v>
      </c>
      <c r="T11">
        <v>2271</v>
      </c>
      <c r="U11">
        <v>937</v>
      </c>
      <c r="V11">
        <v>937</v>
      </c>
      <c r="W11">
        <v>0.70799999999999996</v>
      </c>
      <c r="X11">
        <v>0.70799999999999996</v>
      </c>
      <c r="Y11">
        <v>0.70799999999999996</v>
      </c>
      <c r="Z11">
        <v>119</v>
      </c>
      <c r="AA11">
        <v>125</v>
      </c>
      <c r="AB11">
        <v>85</v>
      </c>
      <c r="AC11">
        <v>34</v>
      </c>
      <c r="AD11">
        <v>40</v>
      </c>
      <c r="AE11">
        <v>0.71430000000000005</v>
      </c>
      <c r="AF11">
        <v>0.68</v>
      </c>
      <c r="AG11">
        <v>0.69669999999999999</v>
      </c>
      <c r="AH11">
        <v>3694</v>
      </c>
      <c r="AI11">
        <v>3786</v>
      </c>
      <c r="AJ11">
        <v>2965</v>
      </c>
      <c r="AK11">
        <v>729</v>
      </c>
      <c r="AL11">
        <v>821</v>
      </c>
      <c r="AM11">
        <v>0.79290000000000005</v>
      </c>
      <c r="AN11">
        <v>0.77290000000000003</v>
      </c>
      <c r="AO11">
        <v>0.79300000000000004</v>
      </c>
    </row>
    <row r="12" spans="1:41" x14ac:dyDescent="0.3">
      <c r="A12" t="s">
        <v>30</v>
      </c>
      <c r="B12">
        <v>8250</v>
      </c>
      <c r="C12">
        <v>14750</v>
      </c>
      <c r="D12">
        <v>7452</v>
      </c>
      <c r="E12">
        <v>798</v>
      </c>
      <c r="F12">
        <v>7298</v>
      </c>
      <c r="G12">
        <v>0.90329999999999999</v>
      </c>
      <c r="H12">
        <v>0.50519999999999998</v>
      </c>
      <c r="I12">
        <v>0.64800000000000002</v>
      </c>
      <c r="J12">
        <v>2522</v>
      </c>
      <c r="K12">
        <v>3051</v>
      </c>
      <c r="L12">
        <v>2102</v>
      </c>
      <c r="M12">
        <v>420</v>
      </c>
      <c r="N12">
        <v>949</v>
      </c>
      <c r="O12">
        <v>0.83330000000000004</v>
      </c>
      <c r="P12">
        <v>0.6885</v>
      </c>
      <c r="Q12">
        <v>0.754</v>
      </c>
      <c r="R12">
        <v>6563</v>
      </c>
      <c r="S12">
        <v>6563</v>
      </c>
      <c r="T12">
        <v>4717</v>
      </c>
      <c r="U12">
        <v>1846</v>
      </c>
      <c r="V12">
        <v>1846</v>
      </c>
      <c r="W12">
        <v>0.71899999999999997</v>
      </c>
      <c r="X12">
        <v>0.71899999999999997</v>
      </c>
      <c r="Y12">
        <v>0.71899999999999997</v>
      </c>
      <c r="Z12">
        <v>192</v>
      </c>
      <c r="AA12">
        <v>202</v>
      </c>
      <c r="AB12">
        <v>147</v>
      </c>
      <c r="AC12">
        <v>45</v>
      </c>
      <c r="AD12">
        <v>55</v>
      </c>
      <c r="AE12">
        <v>0.76559999999999995</v>
      </c>
      <c r="AF12">
        <v>0.72770000000000001</v>
      </c>
      <c r="AG12">
        <v>0.74619999999999997</v>
      </c>
      <c r="AH12">
        <v>6475</v>
      </c>
      <c r="AI12">
        <v>6650</v>
      </c>
      <c r="AJ12">
        <v>4979</v>
      </c>
      <c r="AK12">
        <v>1496</v>
      </c>
      <c r="AL12">
        <v>1671</v>
      </c>
      <c r="AM12">
        <v>0.75800000000000001</v>
      </c>
      <c r="AN12">
        <v>0.73699999999999999</v>
      </c>
      <c r="AO12">
        <v>0.75800000000000001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2983-2DEC-44EB-9AAB-24E148BD014E}">
  <dimension ref="A1:K56"/>
  <sheetViews>
    <sheetView tabSelected="1" topLeftCell="A45" workbookViewId="0">
      <selection activeCell="O63" sqref="O63"/>
    </sheetView>
  </sheetViews>
  <sheetFormatPr defaultRowHeight="14.4" x14ac:dyDescent="0.3"/>
  <cols>
    <col min="1" max="16384" width="8.88671875" style="6"/>
  </cols>
  <sheetData>
    <row r="1" spans="1:11" x14ac:dyDescent="0.3">
      <c r="A1" s="6" t="s">
        <v>33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x14ac:dyDescent="0.3">
      <c r="A2" s="5" t="s">
        <v>32</v>
      </c>
      <c r="B2" s="6" t="s">
        <v>10</v>
      </c>
      <c r="C2" s="6" t="s">
        <v>11</v>
      </c>
      <c r="D2" s="6">
        <v>2178</v>
      </c>
      <c r="E2" s="6">
        <v>2173</v>
      </c>
      <c r="F2" s="6">
        <v>1847</v>
      </c>
      <c r="G2" s="6">
        <v>331</v>
      </c>
      <c r="H2" s="6">
        <v>326</v>
      </c>
      <c r="I2" s="6">
        <v>0.84799999999999998</v>
      </c>
      <c r="J2" s="6">
        <v>0.85</v>
      </c>
      <c r="K2" s="6">
        <v>0.84899999999999998</v>
      </c>
    </row>
    <row r="3" spans="1:11" x14ac:dyDescent="0.3">
      <c r="A3" s="5"/>
      <c r="B3" s="6" t="s">
        <v>12</v>
      </c>
      <c r="C3" s="6" t="s">
        <v>13</v>
      </c>
      <c r="D3" s="6">
        <v>2177</v>
      </c>
      <c r="E3" s="6">
        <v>2823</v>
      </c>
      <c r="F3" s="6">
        <v>1960</v>
      </c>
      <c r="G3" s="6">
        <v>217</v>
      </c>
      <c r="H3" s="6">
        <v>863</v>
      </c>
      <c r="I3" s="6">
        <v>0.90029999999999999</v>
      </c>
      <c r="J3" s="6">
        <v>0.69430000000000003</v>
      </c>
      <c r="K3" s="6">
        <v>0.78400000000000003</v>
      </c>
    </row>
    <row r="4" spans="1:11" x14ac:dyDescent="0.3">
      <c r="A4" s="5"/>
      <c r="B4" s="6" t="s">
        <v>14</v>
      </c>
      <c r="C4" s="6" t="s">
        <v>15</v>
      </c>
      <c r="D4" s="6">
        <v>5246</v>
      </c>
      <c r="E4" s="6">
        <v>5754</v>
      </c>
      <c r="F4" s="6">
        <v>4587</v>
      </c>
      <c r="G4" s="6">
        <v>659</v>
      </c>
      <c r="H4" s="6">
        <v>1167</v>
      </c>
      <c r="I4" s="6">
        <v>0.87439999999999996</v>
      </c>
      <c r="J4" s="6">
        <v>0.79720000000000002</v>
      </c>
      <c r="K4" s="6">
        <v>0.83399999999999996</v>
      </c>
    </row>
    <row r="5" spans="1:11" x14ac:dyDescent="0.3">
      <c r="A5" s="5"/>
      <c r="B5" s="6" t="s">
        <v>16</v>
      </c>
      <c r="C5" s="6" t="s">
        <v>17</v>
      </c>
      <c r="D5" s="6">
        <v>2178</v>
      </c>
      <c r="E5" s="6">
        <v>2297</v>
      </c>
      <c r="F5" s="6">
        <v>1969</v>
      </c>
      <c r="G5" s="6">
        <v>209</v>
      </c>
      <c r="H5" s="6">
        <v>328</v>
      </c>
      <c r="I5" s="6">
        <v>0.90400000000000003</v>
      </c>
      <c r="J5" s="6">
        <v>0.85719999999999996</v>
      </c>
      <c r="K5" s="6">
        <v>0.88</v>
      </c>
    </row>
    <row r="6" spans="1:11" x14ac:dyDescent="0.3">
      <c r="A6" s="5"/>
      <c r="B6" s="6" t="s">
        <v>18</v>
      </c>
      <c r="C6" s="6" t="s">
        <v>19</v>
      </c>
      <c r="D6" s="6">
        <v>8239</v>
      </c>
      <c r="E6" s="6">
        <v>8961</v>
      </c>
      <c r="F6" s="6">
        <v>7353</v>
      </c>
      <c r="G6" s="6">
        <v>886</v>
      </c>
      <c r="H6" s="6">
        <v>1608</v>
      </c>
      <c r="I6" s="6">
        <v>0.89249999999999996</v>
      </c>
      <c r="J6" s="6">
        <v>0.8206</v>
      </c>
      <c r="K6" s="6">
        <v>0.85499999999999998</v>
      </c>
    </row>
    <row r="7" spans="1:11" x14ac:dyDescent="0.3">
      <c r="A7" s="5"/>
      <c r="B7" s="6" t="s">
        <v>20</v>
      </c>
      <c r="C7" s="6" t="s">
        <v>21</v>
      </c>
      <c r="D7" s="6">
        <v>5245</v>
      </c>
      <c r="E7" s="6">
        <v>4958</v>
      </c>
      <c r="F7" s="6">
        <v>4423</v>
      </c>
      <c r="G7" s="6">
        <v>822</v>
      </c>
      <c r="H7" s="6">
        <v>535</v>
      </c>
      <c r="I7" s="6">
        <v>0.84330000000000005</v>
      </c>
      <c r="J7" s="6">
        <v>0.8921</v>
      </c>
      <c r="K7" s="6">
        <v>0.86699999999999999</v>
      </c>
    </row>
    <row r="8" spans="1:11" x14ac:dyDescent="0.3">
      <c r="A8" s="5"/>
      <c r="B8" s="6" t="s">
        <v>22</v>
      </c>
      <c r="C8" s="6" t="s">
        <v>23</v>
      </c>
      <c r="D8" s="6">
        <v>8239</v>
      </c>
      <c r="E8" s="6">
        <v>8761</v>
      </c>
      <c r="F8" s="6">
        <v>7123</v>
      </c>
      <c r="G8" s="6">
        <v>1116</v>
      </c>
      <c r="H8" s="6">
        <v>1638</v>
      </c>
      <c r="I8" s="6">
        <v>0.86450000000000005</v>
      </c>
      <c r="J8" s="6">
        <v>0.81299999999999994</v>
      </c>
      <c r="K8" s="6">
        <v>0.83799999999999997</v>
      </c>
    </row>
    <row r="9" spans="1:11" x14ac:dyDescent="0.3">
      <c r="A9" s="5"/>
      <c r="B9" s="6" t="s">
        <v>24</v>
      </c>
      <c r="C9" s="6" t="s">
        <v>25</v>
      </c>
      <c r="D9" s="6">
        <v>2178</v>
      </c>
      <c r="E9" s="6">
        <v>3435</v>
      </c>
      <c r="F9" s="6">
        <v>1900</v>
      </c>
      <c r="G9" s="6">
        <v>278</v>
      </c>
      <c r="H9" s="6">
        <v>1535</v>
      </c>
      <c r="I9" s="6">
        <v>0.87239999999999995</v>
      </c>
      <c r="J9" s="6">
        <v>0.55310000000000004</v>
      </c>
      <c r="K9" s="6">
        <v>0.67700000000000005</v>
      </c>
    </row>
    <row r="10" spans="1:11" x14ac:dyDescent="0.3">
      <c r="A10" s="5"/>
      <c r="B10" s="6" t="s">
        <v>26</v>
      </c>
      <c r="C10" s="6" t="s">
        <v>27</v>
      </c>
      <c r="D10" s="6">
        <v>8250</v>
      </c>
      <c r="E10" s="6">
        <v>13750</v>
      </c>
      <c r="F10" s="6">
        <v>7403</v>
      </c>
      <c r="G10" s="6">
        <v>847</v>
      </c>
      <c r="H10" s="6">
        <v>6347</v>
      </c>
      <c r="I10" s="6">
        <v>0.89729999999999999</v>
      </c>
      <c r="J10" s="6">
        <v>0.53839999999999999</v>
      </c>
      <c r="K10" s="6">
        <v>0.67300000000000004</v>
      </c>
    </row>
    <row r="11" spans="1:11" x14ac:dyDescent="0.3">
      <c r="A11" s="5"/>
      <c r="B11" s="6" t="s">
        <v>28</v>
      </c>
      <c r="C11" s="6" t="s">
        <v>29</v>
      </c>
      <c r="D11" s="6">
        <v>2178</v>
      </c>
      <c r="E11" s="6">
        <v>3822</v>
      </c>
      <c r="F11" s="6">
        <v>1878</v>
      </c>
      <c r="G11" s="6">
        <v>300</v>
      </c>
      <c r="H11" s="6">
        <v>1944</v>
      </c>
      <c r="I11" s="6">
        <v>0.86229999999999996</v>
      </c>
      <c r="J11" s="6">
        <v>0.4914</v>
      </c>
      <c r="K11" s="6">
        <v>0.626</v>
      </c>
    </row>
    <row r="12" spans="1:11" x14ac:dyDescent="0.3">
      <c r="A12" s="5"/>
      <c r="B12" s="6" t="s">
        <v>30</v>
      </c>
      <c r="C12" s="6" t="s">
        <v>31</v>
      </c>
      <c r="D12" s="6">
        <v>8250</v>
      </c>
      <c r="E12" s="6">
        <v>14750</v>
      </c>
      <c r="F12" s="6">
        <v>7452</v>
      </c>
      <c r="G12" s="6">
        <v>798</v>
      </c>
      <c r="H12" s="6">
        <v>7298</v>
      </c>
      <c r="I12" s="6">
        <v>0.90329999999999999</v>
      </c>
      <c r="J12" s="6">
        <v>0.50519999999999998</v>
      </c>
      <c r="K12" s="6">
        <v>0.64800000000000002</v>
      </c>
    </row>
    <row r="13" spans="1:11" x14ac:dyDescent="0.3">
      <c r="A13" s="7" t="s">
        <v>75</v>
      </c>
      <c r="B13" s="6" t="s">
        <v>10</v>
      </c>
      <c r="C13" s="6" t="s">
        <v>11</v>
      </c>
      <c r="D13" s="6">
        <v>673</v>
      </c>
      <c r="E13" s="6">
        <v>623</v>
      </c>
      <c r="F13" s="6">
        <v>600</v>
      </c>
      <c r="G13" s="6">
        <v>73</v>
      </c>
      <c r="H13" s="6">
        <v>23</v>
      </c>
      <c r="I13" s="6">
        <v>0.89149999999999996</v>
      </c>
      <c r="J13" s="6">
        <v>0.96309999999999996</v>
      </c>
      <c r="K13" s="6">
        <v>0.93210000000000004</v>
      </c>
    </row>
    <row r="14" spans="1:11" x14ac:dyDescent="0.3">
      <c r="A14" s="7"/>
      <c r="B14" s="6" t="s">
        <v>12</v>
      </c>
      <c r="C14" s="6" t="s">
        <v>13</v>
      </c>
      <c r="D14" s="6">
        <v>785</v>
      </c>
      <c r="E14" s="6">
        <v>709</v>
      </c>
      <c r="F14" s="6">
        <v>655</v>
      </c>
      <c r="G14" s="6">
        <v>130</v>
      </c>
      <c r="H14" s="6">
        <v>54</v>
      </c>
      <c r="I14" s="6">
        <v>0.83440000000000003</v>
      </c>
      <c r="J14" s="6">
        <v>0.92379999999999995</v>
      </c>
      <c r="K14" s="6">
        <v>0.87680000000000002</v>
      </c>
    </row>
    <row r="15" spans="1:11" x14ac:dyDescent="0.3">
      <c r="A15" s="7"/>
      <c r="B15" s="6" t="s">
        <v>14</v>
      </c>
      <c r="C15" s="6" t="s">
        <v>15</v>
      </c>
      <c r="D15" s="6">
        <v>2169</v>
      </c>
      <c r="E15" s="6">
        <v>2226</v>
      </c>
      <c r="F15" s="6">
        <v>1971</v>
      </c>
      <c r="G15" s="6">
        <v>198</v>
      </c>
      <c r="H15" s="6">
        <v>255</v>
      </c>
      <c r="I15" s="6">
        <v>0.90869999999999995</v>
      </c>
      <c r="J15" s="6">
        <v>0.88539999999999996</v>
      </c>
      <c r="K15" s="6">
        <v>0.89690000000000003</v>
      </c>
    </row>
    <row r="16" spans="1:11" x14ac:dyDescent="0.3">
      <c r="A16" s="7"/>
      <c r="B16" s="6" t="s">
        <v>16</v>
      </c>
      <c r="C16" s="6" t="s">
        <v>17</v>
      </c>
      <c r="D16" s="6">
        <v>708</v>
      </c>
      <c r="E16" s="6">
        <v>707</v>
      </c>
      <c r="F16" s="6">
        <v>643</v>
      </c>
      <c r="G16" s="6">
        <v>65</v>
      </c>
      <c r="H16" s="6">
        <v>64</v>
      </c>
      <c r="I16" s="6">
        <v>0.90820000000000001</v>
      </c>
      <c r="J16" s="6">
        <v>0.90949999999999998</v>
      </c>
      <c r="K16" s="6">
        <v>0.90880000000000005</v>
      </c>
    </row>
    <row r="17" spans="1:11" x14ac:dyDescent="0.3">
      <c r="A17" s="7"/>
      <c r="B17" s="6" t="s">
        <v>18</v>
      </c>
      <c r="C17" s="6" t="s">
        <v>19</v>
      </c>
      <c r="D17" s="6">
        <v>2317</v>
      </c>
      <c r="E17" s="6">
        <v>2486</v>
      </c>
      <c r="F17" s="6">
        <v>1931</v>
      </c>
      <c r="G17" s="6">
        <v>386</v>
      </c>
      <c r="H17" s="6">
        <v>555</v>
      </c>
      <c r="I17" s="6">
        <v>0.83340000000000003</v>
      </c>
      <c r="J17" s="6">
        <v>0.77669999999999995</v>
      </c>
      <c r="K17" s="6">
        <v>0.80410000000000004</v>
      </c>
    </row>
    <row r="18" spans="1:11" x14ac:dyDescent="0.3">
      <c r="A18" s="7"/>
      <c r="B18" s="6" t="s">
        <v>20</v>
      </c>
      <c r="C18" s="6" t="s">
        <v>21</v>
      </c>
      <c r="D18" s="6">
        <v>2169</v>
      </c>
      <c r="E18" s="6">
        <v>2580</v>
      </c>
      <c r="F18" s="6">
        <v>1971</v>
      </c>
      <c r="G18" s="6">
        <v>198</v>
      </c>
      <c r="H18" s="6">
        <v>609</v>
      </c>
      <c r="I18" s="6">
        <v>0.90869999999999995</v>
      </c>
      <c r="J18" s="6">
        <v>0.76400000000000001</v>
      </c>
      <c r="K18" s="6">
        <v>0.83009999999999995</v>
      </c>
    </row>
    <row r="19" spans="1:11" x14ac:dyDescent="0.3">
      <c r="A19" s="7"/>
      <c r="B19" s="6" t="s">
        <v>22</v>
      </c>
      <c r="C19" s="6" t="s">
        <v>23</v>
      </c>
      <c r="D19" s="6">
        <v>2317</v>
      </c>
      <c r="E19" s="6">
        <v>2826</v>
      </c>
      <c r="F19" s="6">
        <v>2106</v>
      </c>
      <c r="G19" s="6">
        <v>211</v>
      </c>
      <c r="H19" s="6">
        <v>720</v>
      </c>
      <c r="I19" s="6">
        <v>0.90890000000000004</v>
      </c>
      <c r="J19" s="6">
        <v>0.74519999999999997</v>
      </c>
      <c r="K19" s="6">
        <v>0.81899999999999995</v>
      </c>
    </row>
    <row r="20" spans="1:11" x14ac:dyDescent="0.3">
      <c r="A20" s="7"/>
      <c r="B20" s="6" t="s">
        <v>24</v>
      </c>
      <c r="C20" s="6" t="s">
        <v>25</v>
      </c>
      <c r="D20" s="6">
        <v>791</v>
      </c>
      <c r="E20" s="6">
        <v>1162</v>
      </c>
      <c r="F20" s="6">
        <v>660</v>
      </c>
      <c r="G20" s="6">
        <v>131</v>
      </c>
      <c r="H20" s="6">
        <v>502</v>
      </c>
      <c r="I20" s="6">
        <v>0.83440000000000003</v>
      </c>
      <c r="J20" s="6">
        <v>0.56799999999999995</v>
      </c>
      <c r="K20" s="6">
        <v>0.67589999999999995</v>
      </c>
    </row>
    <row r="21" spans="1:11" x14ac:dyDescent="0.3">
      <c r="A21" s="7"/>
      <c r="B21" s="6" t="s">
        <v>26</v>
      </c>
      <c r="C21" s="6" t="s">
        <v>27</v>
      </c>
      <c r="D21" s="6">
        <v>2520</v>
      </c>
      <c r="E21" s="6">
        <v>2949</v>
      </c>
      <c r="F21" s="6">
        <v>2100</v>
      </c>
      <c r="G21" s="6">
        <v>420</v>
      </c>
      <c r="H21" s="6">
        <v>849</v>
      </c>
      <c r="I21" s="6">
        <v>0.83330000000000004</v>
      </c>
      <c r="J21" s="6">
        <v>0.71209999999999996</v>
      </c>
      <c r="K21" s="6">
        <v>0.76800000000000002</v>
      </c>
    </row>
    <row r="22" spans="1:11" x14ac:dyDescent="0.3">
      <c r="A22" s="7"/>
      <c r="B22" s="6" t="s">
        <v>28</v>
      </c>
      <c r="C22" s="6" t="s">
        <v>29</v>
      </c>
      <c r="D22" s="6">
        <v>791</v>
      </c>
      <c r="E22" s="6">
        <v>993</v>
      </c>
      <c r="F22" s="6">
        <v>660</v>
      </c>
      <c r="G22" s="6">
        <v>131</v>
      </c>
      <c r="H22" s="6">
        <v>333</v>
      </c>
      <c r="I22" s="6">
        <v>0.83440000000000003</v>
      </c>
      <c r="J22" s="6">
        <v>0.66469999999999996</v>
      </c>
      <c r="K22" s="6">
        <v>0.7399</v>
      </c>
    </row>
    <row r="23" spans="1:11" x14ac:dyDescent="0.3">
      <c r="A23" s="7"/>
      <c r="B23" s="6" t="s">
        <v>30</v>
      </c>
      <c r="C23" s="6" t="s">
        <v>31</v>
      </c>
      <c r="D23" s="6">
        <v>2522</v>
      </c>
      <c r="E23" s="6">
        <v>3051</v>
      </c>
      <c r="F23" s="6">
        <v>2102</v>
      </c>
      <c r="G23" s="6">
        <v>420</v>
      </c>
      <c r="H23" s="6">
        <v>949</v>
      </c>
      <c r="I23" s="6">
        <v>0.83330000000000004</v>
      </c>
      <c r="J23" s="6">
        <v>0.6885</v>
      </c>
      <c r="K23" s="6">
        <v>0.754</v>
      </c>
    </row>
    <row r="24" spans="1:11" x14ac:dyDescent="0.3">
      <c r="A24" s="7" t="s">
        <v>34</v>
      </c>
      <c r="B24" s="6" t="s">
        <v>10</v>
      </c>
      <c r="C24" s="6" t="s">
        <v>11</v>
      </c>
      <c r="D24" s="6">
        <v>1156</v>
      </c>
      <c r="E24" s="6">
        <v>1156</v>
      </c>
      <c r="F24" s="6">
        <v>1099</v>
      </c>
      <c r="G24" s="6">
        <v>57</v>
      </c>
      <c r="H24" s="6">
        <v>57</v>
      </c>
      <c r="I24" s="6">
        <v>0.95099999999999996</v>
      </c>
      <c r="J24" s="6">
        <v>0.95099999999999996</v>
      </c>
      <c r="K24" s="6">
        <v>0.95099999999999996</v>
      </c>
    </row>
    <row r="25" spans="1:11" x14ac:dyDescent="0.3">
      <c r="A25" s="7"/>
      <c r="B25" s="6" t="s">
        <v>12</v>
      </c>
      <c r="C25" s="6" t="s">
        <v>13</v>
      </c>
      <c r="D25" s="6">
        <v>2056</v>
      </c>
      <c r="E25" s="6">
        <v>2056</v>
      </c>
      <c r="F25" s="6">
        <v>1721</v>
      </c>
      <c r="G25" s="6">
        <v>335</v>
      </c>
      <c r="H25" s="6">
        <v>335</v>
      </c>
      <c r="I25" s="6">
        <v>0.83699999999999997</v>
      </c>
      <c r="J25" s="6">
        <v>0.83699999999999997</v>
      </c>
      <c r="K25" s="6">
        <v>0.83699999999999997</v>
      </c>
    </row>
    <row r="26" spans="1:11" x14ac:dyDescent="0.3">
      <c r="A26" s="7"/>
      <c r="B26" s="6" t="s">
        <v>14</v>
      </c>
      <c r="C26" s="6" t="s">
        <v>15</v>
      </c>
      <c r="D26" s="6">
        <v>2517</v>
      </c>
      <c r="E26" s="6">
        <v>2517</v>
      </c>
      <c r="F26" s="6">
        <v>2086</v>
      </c>
      <c r="G26" s="6">
        <v>431</v>
      </c>
      <c r="H26" s="6">
        <v>431</v>
      </c>
      <c r="I26" s="6">
        <v>0.82899999999999996</v>
      </c>
      <c r="J26" s="6">
        <v>0.82899999999999996</v>
      </c>
      <c r="K26" s="6">
        <v>0.82899999999999996</v>
      </c>
    </row>
    <row r="27" spans="1:11" x14ac:dyDescent="0.3">
      <c r="A27" s="7"/>
      <c r="B27" s="6" t="s">
        <v>16</v>
      </c>
      <c r="C27" s="6" t="s">
        <v>17</v>
      </c>
      <c r="D27" s="6">
        <v>1156</v>
      </c>
      <c r="E27" s="6">
        <v>1156</v>
      </c>
      <c r="F27" s="6">
        <v>973</v>
      </c>
      <c r="G27" s="6">
        <v>183</v>
      </c>
      <c r="H27" s="6">
        <v>183</v>
      </c>
      <c r="I27" s="6">
        <v>0.84099999999999997</v>
      </c>
      <c r="J27" s="6">
        <v>0.84099999999999997</v>
      </c>
      <c r="K27" s="6">
        <v>0.84099999999999997</v>
      </c>
    </row>
    <row r="28" spans="1:11" x14ac:dyDescent="0.3">
      <c r="A28" s="7"/>
      <c r="B28" s="6" t="s">
        <v>18</v>
      </c>
      <c r="C28" s="6" t="s">
        <v>19</v>
      </c>
      <c r="D28" s="6">
        <v>3879</v>
      </c>
      <c r="E28" s="6">
        <v>3879</v>
      </c>
      <c r="F28" s="6">
        <v>3157</v>
      </c>
      <c r="G28" s="6">
        <v>722</v>
      </c>
      <c r="H28" s="6">
        <v>722</v>
      </c>
      <c r="I28" s="6">
        <v>0.81399999999999995</v>
      </c>
      <c r="J28" s="6">
        <v>0.81399999999999995</v>
      </c>
      <c r="K28" s="6">
        <v>0.81399999999999995</v>
      </c>
    </row>
    <row r="29" spans="1:11" x14ac:dyDescent="0.3">
      <c r="A29" s="7"/>
      <c r="B29" s="6" t="s">
        <v>20</v>
      </c>
      <c r="C29" s="6" t="s">
        <v>21</v>
      </c>
      <c r="D29" s="6">
        <v>2517</v>
      </c>
      <c r="E29" s="6">
        <v>2517</v>
      </c>
      <c r="F29" s="6">
        <v>2103</v>
      </c>
      <c r="G29" s="6">
        <v>414</v>
      </c>
      <c r="H29" s="6">
        <v>414</v>
      </c>
      <c r="I29" s="6">
        <v>0.83599999999999997</v>
      </c>
      <c r="J29" s="6">
        <v>0.83599999999999997</v>
      </c>
      <c r="K29" s="6">
        <v>0.83599999999999997</v>
      </c>
    </row>
    <row r="30" spans="1:11" x14ac:dyDescent="0.3">
      <c r="A30" s="7"/>
      <c r="B30" s="6" t="s">
        <v>22</v>
      </c>
      <c r="C30" s="6" t="s">
        <v>23</v>
      </c>
      <c r="D30" s="6">
        <v>3879</v>
      </c>
      <c r="E30" s="6">
        <v>3879</v>
      </c>
      <c r="F30" s="6">
        <v>3231</v>
      </c>
      <c r="G30" s="6">
        <v>648</v>
      </c>
      <c r="H30" s="6">
        <v>648</v>
      </c>
      <c r="I30" s="6">
        <v>0.83299999999999996</v>
      </c>
      <c r="J30" s="6">
        <v>0.83299999999999996</v>
      </c>
      <c r="K30" s="6">
        <v>0.83299999999999996</v>
      </c>
    </row>
    <row r="31" spans="1:11" x14ac:dyDescent="0.3">
      <c r="A31" s="7"/>
      <c r="B31" s="6" t="s">
        <v>24</v>
      </c>
      <c r="C31" s="6" t="s">
        <v>25</v>
      </c>
      <c r="D31" s="6">
        <v>3208</v>
      </c>
      <c r="E31" s="6">
        <v>4278</v>
      </c>
      <c r="F31" s="6">
        <v>2246</v>
      </c>
      <c r="G31" s="6">
        <v>962</v>
      </c>
      <c r="H31" s="6">
        <v>2032</v>
      </c>
      <c r="I31" s="6">
        <v>0.7</v>
      </c>
      <c r="J31" s="6">
        <v>0.52500000000000002</v>
      </c>
      <c r="K31" s="6">
        <v>0.6</v>
      </c>
    </row>
    <row r="32" spans="1:11" x14ac:dyDescent="0.3">
      <c r="A32" s="7"/>
      <c r="B32" s="6" t="s">
        <v>26</v>
      </c>
      <c r="C32" s="6" t="s">
        <v>27</v>
      </c>
      <c r="D32" s="6">
        <v>6563</v>
      </c>
      <c r="E32" s="6">
        <v>6563</v>
      </c>
      <c r="F32" s="6">
        <v>4660</v>
      </c>
      <c r="G32" s="6">
        <v>1903</v>
      </c>
      <c r="H32" s="6">
        <v>1903</v>
      </c>
      <c r="I32" s="6">
        <v>0.71</v>
      </c>
      <c r="J32" s="6">
        <v>0.71</v>
      </c>
      <c r="K32" s="6">
        <v>0.71</v>
      </c>
    </row>
    <row r="33" spans="1:11" x14ac:dyDescent="0.3">
      <c r="A33" s="7"/>
      <c r="B33" s="6" t="s">
        <v>28</v>
      </c>
      <c r="C33" s="6" t="s">
        <v>29</v>
      </c>
      <c r="D33" s="6">
        <v>3208</v>
      </c>
      <c r="E33" s="6">
        <v>3208</v>
      </c>
      <c r="F33" s="6">
        <v>2271</v>
      </c>
      <c r="G33" s="6">
        <v>937</v>
      </c>
      <c r="H33" s="6">
        <v>937</v>
      </c>
      <c r="I33" s="6">
        <v>0.70799999999999996</v>
      </c>
      <c r="J33" s="6">
        <v>0.70799999999999996</v>
      </c>
      <c r="K33" s="6">
        <v>0.70799999999999996</v>
      </c>
    </row>
    <row r="34" spans="1:11" x14ac:dyDescent="0.3">
      <c r="A34" s="7"/>
      <c r="B34" s="6" t="s">
        <v>30</v>
      </c>
      <c r="C34" s="6" t="s">
        <v>31</v>
      </c>
      <c r="D34" s="6">
        <v>6563</v>
      </c>
      <c r="E34" s="6">
        <v>6563</v>
      </c>
      <c r="F34" s="6">
        <v>4717</v>
      </c>
      <c r="G34" s="6">
        <v>1846</v>
      </c>
      <c r="H34" s="6">
        <v>1846</v>
      </c>
      <c r="I34" s="6">
        <v>0.71899999999999997</v>
      </c>
      <c r="J34" s="6">
        <v>0.71899999999999997</v>
      </c>
      <c r="K34" s="6">
        <v>0.71899999999999997</v>
      </c>
    </row>
    <row r="35" spans="1:11" x14ac:dyDescent="0.3">
      <c r="A35" s="7" t="s">
        <v>76</v>
      </c>
      <c r="B35" s="6" t="s">
        <v>10</v>
      </c>
      <c r="C35" s="6" t="s">
        <v>11</v>
      </c>
      <c r="D35" s="6">
        <v>55</v>
      </c>
      <c r="E35" s="6">
        <v>56</v>
      </c>
      <c r="F35" s="6">
        <v>49</v>
      </c>
      <c r="G35" s="6">
        <v>6</v>
      </c>
      <c r="H35" s="6">
        <v>7</v>
      </c>
      <c r="I35" s="6">
        <v>0.89090000000000003</v>
      </c>
      <c r="J35" s="6">
        <v>0.875</v>
      </c>
      <c r="K35" s="6">
        <v>0.88290000000000002</v>
      </c>
    </row>
    <row r="36" spans="1:11" x14ac:dyDescent="0.3">
      <c r="A36" s="7"/>
      <c r="B36" s="6" t="s">
        <v>12</v>
      </c>
      <c r="C36" s="6" t="s">
        <v>13</v>
      </c>
      <c r="D36" s="6">
        <v>107</v>
      </c>
      <c r="E36" s="6">
        <v>111</v>
      </c>
      <c r="F36" s="6">
        <v>92</v>
      </c>
      <c r="G36" s="6">
        <v>15</v>
      </c>
      <c r="H36" s="6">
        <v>19</v>
      </c>
      <c r="I36" s="6">
        <v>0.85980000000000001</v>
      </c>
      <c r="J36" s="6">
        <v>0.82879999999999998</v>
      </c>
      <c r="K36" s="6">
        <v>0.84399999999999997</v>
      </c>
    </row>
    <row r="37" spans="1:11" x14ac:dyDescent="0.3">
      <c r="A37" s="7"/>
      <c r="B37" s="6" t="s">
        <v>14</v>
      </c>
      <c r="C37" s="6" t="s">
        <v>15</v>
      </c>
      <c r="D37" s="6">
        <v>83</v>
      </c>
      <c r="E37" s="6">
        <v>85</v>
      </c>
      <c r="F37" s="6">
        <v>71</v>
      </c>
      <c r="G37" s="6">
        <v>12</v>
      </c>
      <c r="H37" s="6">
        <v>14</v>
      </c>
      <c r="I37" s="6">
        <v>0.85540000000000005</v>
      </c>
      <c r="J37" s="6">
        <v>0.83530000000000004</v>
      </c>
      <c r="K37" s="6">
        <v>0.84519999999999995</v>
      </c>
    </row>
    <row r="38" spans="1:11" x14ac:dyDescent="0.3">
      <c r="A38" s="7"/>
      <c r="B38" s="6" t="s">
        <v>16</v>
      </c>
      <c r="C38" s="6" t="s">
        <v>17</v>
      </c>
      <c r="D38" s="6">
        <v>69</v>
      </c>
      <c r="E38" s="6">
        <v>72</v>
      </c>
      <c r="F38" s="6">
        <v>60</v>
      </c>
      <c r="G38" s="6">
        <v>9</v>
      </c>
      <c r="H38" s="6">
        <v>12</v>
      </c>
      <c r="I38" s="6">
        <v>0.86960000000000004</v>
      </c>
      <c r="J38" s="6">
        <v>0.83330000000000004</v>
      </c>
      <c r="K38" s="6">
        <v>0.85109999999999997</v>
      </c>
    </row>
    <row r="39" spans="1:11" x14ac:dyDescent="0.3">
      <c r="A39" s="7"/>
      <c r="B39" s="6" t="s">
        <v>18</v>
      </c>
      <c r="C39" s="6" t="s">
        <v>19</v>
      </c>
      <c r="D39" s="6">
        <v>143</v>
      </c>
      <c r="E39" s="6">
        <v>149</v>
      </c>
      <c r="F39" s="6">
        <v>117</v>
      </c>
      <c r="G39" s="6">
        <v>26</v>
      </c>
      <c r="H39" s="6">
        <v>32</v>
      </c>
      <c r="I39" s="6">
        <v>0.81820000000000004</v>
      </c>
      <c r="J39" s="6">
        <v>0.78520000000000001</v>
      </c>
      <c r="K39" s="6">
        <v>0.8014</v>
      </c>
    </row>
    <row r="40" spans="1:11" x14ac:dyDescent="0.3">
      <c r="A40" s="7"/>
      <c r="B40" s="6" t="s">
        <v>20</v>
      </c>
      <c r="C40" s="6" t="s">
        <v>21</v>
      </c>
      <c r="D40" s="6">
        <v>88</v>
      </c>
      <c r="E40" s="6">
        <v>92</v>
      </c>
      <c r="F40" s="6">
        <v>74</v>
      </c>
      <c r="G40" s="6">
        <v>14</v>
      </c>
      <c r="H40" s="6">
        <v>18</v>
      </c>
      <c r="I40" s="6">
        <v>0.84089999999999998</v>
      </c>
      <c r="J40" s="6">
        <v>0.80430000000000001</v>
      </c>
      <c r="K40" s="6">
        <v>0.82220000000000004</v>
      </c>
    </row>
    <row r="41" spans="1:11" x14ac:dyDescent="0.3">
      <c r="A41" s="7"/>
      <c r="B41" s="6" t="s">
        <v>22</v>
      </c>
      <c r="C41" s="6" t="s">
        <v>23</v>
      </c>
      <c r="D41" s="6">
        <v>140</v>
      </c>
      <c r="E41" s="6">
        <v>146</v>
      </c>
      <c r="F41" s="6">
        <v>118</v>
      </c>
      <c r="G41" s="6">
        <v>22</v>
      </c>
      <c r="H41" s="6">
        <v>28</v>
      </c>
      <c r="I41" s="6">
        <v>0.84289999999999998</v>
      </c>
      <c r="J41" s="6">
        <v>0.80820000000000003</v>
      </c>
      <c r="K41" s="6">
        <v>0.82520000000000004</v>
      </c>
    </row>
    <row r="42" spans="1:11" x14ac:dyDescent="0.3">
      <c r="A42" s="7"/>
      <c r="B42" s="6" t="s">
        <v>24</v>
      </c>
      <c r="C42" s="6" t="s">
        <v>25</v>
      </c>
      <c r="D42" s="6">
        <v>167</v>
      </c>
      <c r="E42" s="6">
        <v>175</v>
      </c>
      <c r="F42" s="6">
        <v>115</v>
      </c>
      <c r="G42" s="6">
        <v>52</v>
      </c>
      <c r="H42" s="6">
        <v>60</v>
      </c>
      <c r="I42" s="6">
        <v>0.68859999999999999</v>
      </c>
      <c r="J42" s="6">
        <v>0.65710000000000002</v>
      </c>
      <c r="K42" s="6">
        <v>0.67249999999999999</v>
      </c>
    </row>
    <row r="43" spans="1:11" x14ac:dyDescent="0.3">
      <c r="A43" s="7"/>
      <c r="B43" s="6" t="s">
        <v>26</v>
      </c>
      <c r="C43" s="6" t="s">
        <v>27</v>
      </c>
      <c r="D43" s="6">
        <v>224</v>
      </c>
      <c r="E43" s="6">
        <v>234</v>
      </c>
      <c r="F43" s="6">
        <v>169</v>
      </c>
      <c r="G43" s="6">
        <v>55</v>
      </c>
      <c r="H43" s="6">
        <v>65</v>
      </c>
      <c r="I43" s="6">
        <v>0.75449999999999995</v>
      </c>
      <c r="J43" s="6">
        <v>0.72219999999999995</v>
      </c>
      <c r="K43" s="6">
        <v>0.73799999999999999</v>
      </c>
    </row>
    <row r="44" spans="1:11" x14ac:dyDescent="0.3">
      <c r="A44" s="7"/>
      <c r="B44" s="6" t="s">
        <v>28</v>
      </c>
      <c r="C44" s="6" t="s">
        <v>29</v>
      </c>
      <c r="D44" s="6">
        <v>119</v>
      </c>
      <c r="E44" s="6">
        <v>125</v>
      </c>
      <c r="F44" s="6">
        <v>85</v>
      </c>
      <c r="G44" s="6">
        <v>34</v>
      </c>
      <c r="H44" s="6">
        <v>40</v>
      </c>
      <c r="I44" s="6">
        <v>0.71430000000000005</v>
      </c>
      <c r="J44" s="6">
        <v>0.68</v>
      </c>
      <c r="K44" s="6">
        <v>0.69669999999999999</v>
      </c>
    </row>
    <row r="45" spans="1:11" x14ac:dyDescent="0.3">
      <c r="A45" s="7"/>
      <c r="B45" s="6" t="s">
        <v>30</v>
      </c>
      <c r="C45" s="6" t="s">
        <v>31</v>
      </c>
      <c r="D45" s="6">
        <v>192</v>
      </c>
      <c r="E45" s="6">
        <v>202</v>
      </c>
      <c r="F45" s="6">
        <v>147</v>
      </c>
      <c r="G45" s="6">
        <v>45</v>
      </c>
      <c r="H45" s="6">
        <v>55</v>
      </c>
      <c r="I45" s="6">
        <v>0.76559999999999995</v>
      </c>
      <c r="J45" s="6">
        <v>0.72770000000000001</v>
      </c>
      <c r="K45" s="6">
        <v>0.74619999999999997</v>
      </c>
    </row>
    <row r="46" spans="1:11" x14ac:dyDescent="0.3">
      <c r="A46" s="7" t="s">
        <v>77</v>
      </c>
      <c r="B46" s="6" t="s">
        <v>10</v>
      </c>
      <c r="C46" s="6" t="s">
        <v>11</v>
      </c>
      <c r="D46" s="6">
        <v>1307</v>
      </c>
      <c r="E46" s="6">
        <v>1339</v>
      </c>
      <c r="F46" s="6">
        <v>1199</v>
      </c>
      <c r="G46" s="6">
        <v>108</v>
      </c>
      <c r="H46" s="6">
        <v>140</v>
      </c>
      <c r="I46" s="6">
        <v>0.91269999999999996</v>
      </c>
      <c r="J46" s="6">
        <v>0.88980000000000004</v>
      </c>
      <c r="K46" s="6">
        <v>0.91100000000000003</v>
      </c>
    </row>
    <row r="47" spans="1:11" x14ac:dyDescent="0.3">
      <c r="A47" s="7"/>
      <c r="B47" s="6" t="s">
        <v>12</v>
      </c>
      <c r="C47" s="6" t="s">
        <v>13</v>
      </c>
      <c r="D47" s="6">
        <v>2364</v>
      </c>
      <c r="E47" s="6">
        <v>2420</v>
      </c>
      <c r="F47" s="6">
        <v>2125</v>
      </c>
      <c r="G47" s="6">
        <v>239</v>
      </c>
      <c r="H47" s="6">
        <v>295</v>
      </c>
      <c r="I47" s="6">
        <v>0.89900000000000002</v>
      </c>
      <c r="J47" s="6">
        <v>0.87809999999999999</v>
      </c>
      <c r="K47" s="6">
        <v>0.89900000000000002</v>
      </c>
    </row>
    <row r="48" spans="1:11" x14ac:dyDescent="0.3">
      <c r="A48" s="7"/>
      <c r="B48" s="6" t="s">
        <v>14</v>
      </c>
      <c r="C48" s="6" t="s">
        <v>15</v>
      </c>
      <c r="D48" s="6">
        <v>2332</v>
      </c>
      <c r="E48" s="6">
        <v>2397</v>
      </c>
      <c r="F48" s="6">
        <v>1905</v>
      </c>
      <c r="G48" s="6">
        <v>427</v>
      </c>
      <c r="H48" s="6">
        <v>492</v>
      </c>
      <c r="I48" s="6">
        <v>0.81020000000000003</v>
      </c>
      <c r="J48" s="6">
        <v>0.78749999999999998</v>
      </c>
      <c r="K48" s="6">
        <v>0.81</v>
      </c>
    </row>
    <row r="49" spans="1:11" x14ac:dyDescent="0.3">
      <c r="A49" s="7"/>
      <c r="B49" s="6" t="s">
        <v>16</v>
      </c>
      <c r="C49" s="6" t="s">
        <v>17</v>
      </c>
      <c r="D49" s="6">
        <v>1368</v>
      </c>
      <c r="E49" s="6">
        <v>1425</v>
      </c>
      <c r="F49" s="6">
        <v>1196</v>
      </c>
      <c r="G49" s="6">
        <v>172</v>
      </c>
      <c r="H49" s="6">
        <v>229</v>
      </c>
      <c r="I49" s="6">
        <v>0.86109999999999998</v>
      </c>
      <c r="J49" s="6">
        <v>0.82279999999999998</v>
      </c>
      <c r="K49" s="6">
        <v>0.86099999999999999</v>
      </c>
    </row>
    <row r="50" spans="1:11" x14ac:dyDescent="0.3">
      <c r="A50" s="7"/>
      <c r="B50" s="6" t="s">
        <v>18</v>
      </c>
      <c r="C50" s="6" t="s">
        <v>19</v>
      </c>
      <c r="D50" s="6">
        <v>3922</v>
      </c>
      <c r="E50" s="6">
        <v>4035</v>
      </c>
      <c r="F50" s="6">
        <v>3281</v>
      </c>
      <c r="G50" s="6">
        <v>641</v>
      </c>
      <c r="H50" s="6">
        <v>754</v>
      </c>
      <c r="I50" s="6">
        <v>0.84730000000000005</v>
      </c>
      <c r="J50" s="6">
        <v>0.82489999999999997</v>
      </c>
      <c r="K50" s="6">
        <v>0.82399999999999995</v>
      </c>
    </row>
    <row r="51" spans="1:11" x14ac:dyDescent="0.3">
      <c r="A51" s="7"/>
      <c r="B51" s="6" t="s">
        <v>20</v>
      </c>
      <c r="C51" s="6" t="s">
        <v>21</v>
      </c>
      <c r="D51" s="6">
        <v>2397</v>
      </c>
      <c r="E51" s="6">
        <v>2467</v>
      </c>
      <c r="F51" s="6">
        <v>1962</v>
      </c>
      <c r="G51" s="6">
        <v>435</v>
      </c>
      <c r="H51" s="6">
        <v>505</v>
      </c>
      <c r="I51" s="6">
        <v>0.80669999999999997</v>
      </c>
      <c r="J51" s="6">
        <v>0.78280000000000005</v>
      </c>
      <c r="K51" s="6">
        <v>0.80700000000000005</v>
      </c>
    </row>
    <row r="52" spans="1:11" x14ac:dyDescent="0.3">
      <c r="A52" s="7"/>
      <c r="B52" s="6" t="s">
        <v>22</v>
      </c>
      <c r="C52" s="6" t="s">
        <v>23</v>
      </c>
      <c r="D52" s="6">
        <v>4414</v>
      </c>
      <c r="E52" s="6">
        <v>4532</v>
      </c>
      <c r="F52" s="6">
        <v>3527</v>
      </c>
      <c r="G52" s="6">
        <v>887</v>
      </c>
      <c r="H52" s="6">
        <v>1005</v>
      </c>
      <c r="I52" s="6">
        <v>0.78859999999999997</v>
      </c>
      <c r="J52" s="6">
        <v>0.76719999999999999</v>
      </c>
      <c r="K52" s="6">
        <v>0.78900000000000003</v>
      </c>
    </row>
    <row r="53" spans="1:11" x14ac:dyDescent="0.3">
      <c r="A53" s="7"/>
      <c r="B53" s="6" t="s">
        <v>24</v>
      </c>
      <c r="C53" s="6" t="s">
        <v>25</v>
      </c>
      <c r="D53" s="6">
        <v>3802</v>
      </c>
      <c r="E53" s="6">
        <v>3879</v>
      </c>
      <c r="F53" s="6">
        <v>3355</v>
      </c>
      <c r="G53" s="6">
        <v>447</v>
      </c>
      <c r="H53" s="6">
        <v>524</v>
      </c>
      <c r="I53" s="6">
        <v>0.87309999999999999</v>
      </c>
      <c r="J53" s="6">
        <v>0.85440000000000005</v>
      </c>
      <c r="K53" s="6">
        <v>0.874</v>
      </c>
    </row>
    <row r="54" spans="1:11" x14ac:dyDescent="0.3">
      <c r="A54" s="7"/>
      <c r="B54" s="6" t="s">
        <v>26</v>
      </c>
      <c r="C54" s="6" t="s">
        <v>27</v>
      </c>
      <c r="D54" s="6">
        <v>6434</v>
      </c>
      <c r="E54" s="6">
        <v>6559</v>
      </c>
      <c r="F54" s="6">
        <v>5118</v>
      </c>
      <c r="G54" s="6">
        <v>1316</v>
      </c>
      <c r="H54" s="6">
        <v>1441</v>
      </c>
      <c r="I54" s="6">
        <v>0.78690000000000004</v>
      </c>
      <c r="J54" s="6">
        <v>0.77129999999999999</v>
      </c>
      <c r="K54" s="6">
        <v>0.78700000000000003</v>
      </c>
    </row>
    <row r="55" spans="1:11" x14ac:dyDescent="0.3">
      <c r="A55" s="7"/>
      <c r="B55" s="6" t="s">
        <v>28</v>
      </c>
      <c r="C55" s="6" t="s">
        <v>29</v>
      </c>
      <c r="D55" s="6">
        <v>3694</v>
      </c>
      <c r="E55" s="6">
        <v>3786</v>
      </c>
      <c r="F55" s="6">
        <v>2965</v>
      </c>
      <c r="G55" s="6">
        <v>729</v>
      </c>
      <c r="H55" s="6">
        <v>821</v>
      </c>
      <c r="I55" s="6">
        <v>0.79290000000000005</v>
      </c>
      <c r="J55" s="6">
        <v>0.77290000000000003</v>
      </c>
      <c r="K55" s="6">
        <v>0.79300000000000004</v>
      </c>
    </row>
    <row r="56" spans="1:11" x14ac:dyDescent="0.3">
      <c r="A56" s="7"/>
      <c r="B56" s="6" t="s">
        <v>30</v>
      </c>
      <c r="C56" s="6" t="s">
        <v>31</v>
      </c>
      <c r="D56" s="6">
        <v>6475</v>
      </c>
      <c r="E56" s="6">
        <v>6650</v>
      </c>
      <c r="F56" s="6">
        <v>4979</v>
      </c>
      <c r="G56" s="6">
        <v>1496</v>
      </c>
      <c r="H56" s="6">
        <v>1671</v>
      </c>
      <c r="I56" s="6">
        <v>0.75800000000000001</v>
      </c>
      <c r="J56" s="6">
        <v>0.73699999999999999</v>
      </c>
      <c r="K56" s="6">
        <v>0.75800000000000001</v>
      </c>
    </row>
  </sheetData>
  <mergeCells count="5">
    <mergeCell ref="A13:A23"/>
    <mergeCell ref="A24:A34"/>
    <mergeCell ref="A35:A45"/>
    <mergeCell ref="A46:A56"/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Oval</vt:lpstr>
      <vt:lpstr>Olympic-ring</vt:lpstr>
      <vt:lpstr>Linear</vt:lpstr>
      <vt:lpstr>colonies</vt:lpstr>
      <vt:lpstr>Sinusoid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Fathollahian, Hossein</dc:creator>
  <cp:lastModifiedBy>Fathollahian, Hossein</cp:lastModifiedBy>
  <dcterms:created xsi:type="dcterms:W3CDTF">2026-01-27T16:21:29Z</dcterms:created>
  <dcterms:modified xsi:type="dcterms:W3CDTF">2026-01-27T19:43:30Z</dcterms:modified>
</cp:coreProperties>
</file>