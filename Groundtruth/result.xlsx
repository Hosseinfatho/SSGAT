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2025\BIoVisChallenges\SSGAT\Groundtruth\"/>
    </mc:Choice>
  </mc:AlternateContent>
  <xr:revisionPtr revIDLastSave="0" documentId="13_ncr:1_{1BECB0EA-D059-48D8-8EB9-2B1DA36397D9}" xr6:coauthVersionLast="47" xr6:coauthVersionMax="47" xr10:uidLastSave="{00000000-0000-0000-0000-000000000000}"/>
  <bookViews>
    <workbookView xWindow="-108" yWindow="-108" windowWidth="23256" windowHeight="12456" tabRatio="496" firstSheet="2" activeTab="8" xr2:uid="{43B6D743-2A59-481A-853B-2CF06C350A41}"/>
  </bookViews>
  <sheets>
    <sheet name="Oval" sheetId="1" r:id="rId1"/>
    <sheet name="Olympic-ring" sheetId="2" r:id="rId2"/>
    <sheet name="Linear" sheetId="3" r:id="rId3"/>
    <sheet name="colonies" sheetId="4" r:id="rId4"/>
    <sheet name="Sinusoid" sheetId="5" r:id="rId5"/>
    <sheet name="Sheet6" sheetId="6" r:id="rId6"/>
    <sheet name="Sheet7" sheetId="7" r:id="rId7"/>
    <sheet name="Sheet8" sheetId="8" r:id="rId8"/>
    <sheet name="Final" sheetId="10" r:id="rId9"/>
    <sheet name="Final (2)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5" l="1"/>
  <c r="Q17" i="5"/>
  <c r="P18" i="5"/>
  <c r="Q18" i="5"/>
  <c r="P19" i="5"/>
  <c r="Q19" i="5"/>
  <c r="P20" i="5"/>
  <c r="Q20" i="5"/>
  <c r="P21" i="5"/>
  <c r="Q21" i="5"/>
  <c r="P22" i="5"/>
  <c r="Q22" i="5"/>
  <c r="P27" i="5"/>
  <c r="Q27" i="5"/>
  <c r="P28" i="5"/>
  <c r="Q28" i="5"/>
  <c r="P29" i="5"/>
  <c r="Q29" i="5"/>
  <c r="P30" i="5"/>
  <c r="Q30" i="5"/>
  <c r="P31" i="5"/>
  <c r="Q31" i="5"/>
  <c r="P32" i="5"/>
  <c r="Q32" i="5"/>
  <c r="P33" i="5"/>
  <c r="Q33" i="5"/>
  <c r="M27" i="5"/>
  <c r="L28" i="5"/>
  <c r="M28" i="5"/>
  <c r="L29" i="5"/>
  <c r="M29" i="5"/>
  <c r="L30" i="5"/>
  <c r="M30" i="5"/>
  <c r="L31" i="5"/>
  <c r="M31" i="5"/>
  <c r="L32" i="5"/>
  <c r="M32" i="5"/>
  <c r="L33" i="5"/>
  <c r="M33" i="5"/>
  <c r="L27" i="5"/>
  <c r="N27" i="5"/>
  <c r="O27" i="5"/>
  <c r="N28" i="5"/>
  <c r="O28" i="5"/>
  <c r="N29" i="5"/>
  <c r="O29" i="5"/>
  <c r="N30" i="5"/>
  <c r="O30" i="5"/>
  <c r="N31" i="5"/>
  <c r="O31" i="5"/>
  <c r="N32" i="5"/>
  <c r="O32" i="5"/>
  <c r="N33" i="5"/>
  <c r="O33" i="5"/>
  <c r="L27" i="4"/>
  <c r="M27" i="4"/>
  <c r="N27" i="4"/>
  <c r="O27" i="4"/>
  <c r="P27" i="4"/>
  <c r="Q27" i="4"/>
  <c r="L28" i="4"/>
  <c r="M28" i="4"/>
  <c r="N28" i="4"/>
  <c r="O28" i="4"/>
  <c r="P28" i="4"/>
  <c r="Q28" i="4"/>
  <c r="L29" i="4"/>
  <c r="M29" i="4"/>
  <c r="N29" i="4"/>
  <c r="O29" i="4"/>
  <c r="P29" i="4"/>
  <c r="Q29" i="4"/>
  <c r="L30" i="4"/>
  <c r="M30" i="4"/>
  <c r="N30" i="4"/>
  <c r="O30" i="4"/>
  <c r="P30" i="4"/>
  <c r="Q30" i="4"/>
  <c r="L31" i="4"/>
  <c r="M31" i="4"/>
  <c r="N31" i="4"/>
  <c r="O31" i="4"/>
  <c r="P31" i="4"/>
  <c r="Q31" i="4"/>
  <c r="L32" i="4"/>
  <c r="M32" i="4"/>
  <c r="N32" i="4"/>
  <c r="O32" i="4"/>
  <c r="P32" i="4"/>
  <c r="Q32" i="4"/>
  <c r="L33" i="4"/>
  <c r="M33" i="4"/>
  <c r="N33" i="4"/>
  <c r="O33" i="4"/>
  <c r="P33" i="4"/>
  <c r="Q33" i="4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L30" i="3"/>
  <c r="M30" i="3"/>
  <c r="N30" i="3"/>
  <c r="O30" i="3"/>
  <c r="P30" i="3"/>
  <c r="Q30" i="3"/>
  <c r="L31" i="3"/>
  <c r="M31" i="3"/>
  <c r="N31" i="3"/>
  <c r="O31" i="3"/>
  <c r="P31" i="3"/>
  <c r="Q31" i="3"/>
  <c r="L25" i="2"/>
  <c r="M25" i="2"/>
  <c r="N25" i="2"/>
  <c r="O25" i="2"/>
  <c r="P25" i="2"/>
  <c r="Q25" i="2"/>
  <c r="L26" i="2"/>
  <c r="M26" i="2"/>
  <c r="N26" i="2"/>
  <c r="O26" i="2"/>
  <c r="P26" i="2"/>
  <c r="Q26" i="2"/>
  <c r="L27" i="2"/>
  <c r="M27" i="2"/>
  <c r="N27" i="2"/>
  <c r="O27" i="2"/>
  <c r="P27" i="2"/>
  <c r="Q27" i="2"/>
  <c r="L28" i="2"/>
  <c r="M28" i="2"/>
  <c r="N28" i="2"/>
  <c r="O28" i="2"/>
  <c r="P28" i="2"/>
  <c r="Q28" i="2"/>
  <c r="L29" i="2"/>
  <c r="M29" i="2"/>
  <c r="N29" i="2"/>
  <c r="O29" i="2"/>
  <c r="P29" i="2"/>
  <c r="Q29" i="2"/>
  <c r="L30" i="2"/>
  <c r="M30" i="2"/>
  <c r="N30" i="2"/>
  <c r="O30" i="2"/>
  <c r="P30" i="2"/>
  <c r="Q30" i="2"/>
  <c r="L31" i="2"/>
  <c r="M31" i="2"/>
  <c r="N31" i="2"/>
  <c r="O31" i="2"/>
  <c r="P31" i="2"/>
  <c r="Q31" i="2"/>
  <c r="L26" i="1"/>
  <c r="M26" i="1"/>
  <c r="N26" i="1"/>
  <c r="O26" i="1"/>
  <c r="P26" i="1"/>
  <c r="Q26" i="1"/>
  <c r="L27" i="1"/>
  <c r="M27" i="1"/>
  <c r="N27" i="1"/>
  <c r="O27" i="1"/>
  <c r="P27" i="1"/>
  <c r="Q27" i="1"/>
  <c r="L28" i="1"/>
  <c r="M28" i="1"/>
  <c r="N28" i="1"/>
  <c r="O28" i="1"/>
  <c r="P28" i="1"/>
  <c r="Q28" i="1"/>
  <c r="L29" i="1"/>
  <c r="M29" i="1"/>
  <c r="N29" i="1"/>
  <c r="O29" i="1"/>
  <c r="P29" i="1"/>
  <c r="Q29" i="1"/>
  <c r="L30" i="1"/>
  <c r="M30" i="1"/>
  <c r="N30" i="1"/>
  <c r="O30" i="1"/>
  <c r="P30" i="1"/>
  <c r="Q30" i="1"/>
  <c r="L31" i="1"/>
  <c r="M31" i="1"/>
  <c r="N31" i="1"/>
  <c r="O31" i="1"/>
  <c r="P31" i="1"/>
  <c r="Q31" i="1"/>
  <c r="L32" i="1"/>
  <c r="M32" i="1"/>
  <c r="N32" i="1"/>
  <c r="O32" i="1"/>
  <c r="P32" i="1"/>
  <c r="Q32" i="1"/>
  <c r="L4" i="5"/>
  <c r="M4" i="5"/>
  <c r="N4" i="5"/>
  <c r="O4" i="5"/>
  <c r="P4" i="5"/>
  <c r="Q4" i="5"/>
  <c r="L5" i="5"/>
  <c r="M5" i="5"/>
  <c r="N5" i="5"/>
  <c r="O5" i="5"/>
  <c r="P5" i="5"/>
  <c r="Q5" i="5"/>
  <c r="L6" i="5"/>
  <c r="M6" i="5"/>
  <c r="N6" i="5"/>
  <c r="O6" i="5"/>
  <c r="P6" i="5"/>
  <c r="Q6" i="5"/>
  <c r="L7" i="5"/>
  <c r="M7" i="5"/>
  <c r="N7" i="5"/>
  <c r="O7" i="5"/>
  <c r="P7" i="5"/>
  <c r="Q7" i="5"/>
  <c r="L8" i="5"/>
  <c r="M8" i="5"/>
  <c r="N8" i="5"/>
  <c r="O8" i="5"/>
  <c r="P8" i="5"/>
  <c r="Q8" i="5"/>
  <c r="L9" i="5"/>
  <c r="M9" i="5"/>
  <c r="N9" i="5"/>
  <c r="O9" i="5"/>
  <c r="P9" i="5"/>
  <c r="Q9" i="5"/>
  <c r="L10" i="5"/>
  <c r="M10" i="5"/>
  <c r="N10" i="5"/>
  <c r="O10" i="5"/>
  <c r="P10" i="5"/>
  <c r="Q10" i="5"/>
  <c r="L11" i="5"/>
  <c r="M11" i="5"/>
  <c r="N11" i="5"/>
  <c r="O11" i="5"/>
  <c r="P11" i="5"/>
  <c r="Q11" i="5"/>
  <c r="L12" i="5"/>
  <c r="M12" i="5"/>
  <c r="N12" i="5"/>
  <c r="O12" i="5"/>
  <c r="P12" i="5"/>
  <c r="Q12" i="5"/>
  <c r="L13" i="5"/>
  <c r="M13" i="5"/>
  <c r="N13" i="5"/>
  <c r="O13" i="5"/>
  <c r="P13" i="5"/>
  <c r="Q13" i="5"/>
  <c r="L16" i="5"/>
  <c r="M16" i="5"/>
  <c r="N16" i="5"/>
  <c r="O16" i="5"/>
  <c r="P16" i="5"/>
  <c r="Q16" i="5"/>
  <c r="L17" i="5"/>
  <c r="M17" i="5"/>
  <c r="N17" i="5"/>
  <c r="O17" i="5"/>
  <c r="L18" i="5"/>
  <c r="M18" i="5"/>
  <c r="N18" i="5"/>
  <c r="O18" i="5"/>
  <c r="L19" i="5"/>
  <c r="M19" i="5"/>
  <c r="N19" i="5"/>
  <c r="O19" i="5"/>
  <c r="L20" i="5"/>
  <c r="M20" i="5"/>
  <c r="N20" i="5"/>
  <c r="O20" i="5"/>
  <c r="L21" i="5"/>
  <c r="M21" i="5"/>
  <c r="N21" i="5"/>
  <c r="O21" i="5"/>
  <c r="L22" i="5"/>
  <c r="M22" i="5"/>
  <c r="N22" i="5"/>
  <c r="O22" i="5"/>
  <c r="L4" i="4"/>
  <c r="M4" i="4"/>
  <c r="N4" i="4"/>
  <c r="O4" i="4"/>
  <c r="P4" i="4"/>
  <c r="Q4" i="4"/>
  <c r="L5" i="4"/>
  <c r="M5" i="4"/>
  <c r="N5" i="4"/>
  <c r="O5" i="4"/>
  <c r="P5" i="4"/>
  <c r="Q5" i="4"/>
  <c r="L6" i="4"/>
  <c r="M6" i="4"/>
  <c r="N6" i="4"/>
  <c r="O6" i="4"/>
  <c r="P6" i="4"/>
  <c r="Q6" i="4"/>
  <c r="L7" i="4"/>
  <c r="M7" i="4"/>
  <c r="N7" i="4"/>
  <c r="O7" i="4"/>
  <c r="P7" i="4"/>
  <c r="Q7" i="4"/>
  <c r="L8" i="4"/>
  <c r="M8" i="4"/>
  <c r="N8" i="4"/>
  <c r="O8" i="4"/>
  <c r="P8" i="4"/>
  <c r="Q8" i="4"/>
  <c r="L9" i="4"/>
  <c r="M9" i="4"/>
  <c r="N9" i="4"/>
  <c r="O9" i="4"/>
  <c r="P9" i="4"/>
  <c r="Q9" i="4"/>
  <c r="L10" i="4"/>
  <c r="M10" i="4"/>
  <c r="N10" i="4"/>
  <c r="O10" i="4"/>
  <c r="P10" i="4"/>
  <c r="Q10" i="4"/>
  <c r="L11" i="4"/>
  <c r="M11" i="4"/>
  <c r="N11" i="4"/>
  <c r="O11" i="4"/>
  <c r="P11" i="4"/>
  <c r="Q11" i="4"/>
  <c r="L12" i="4"/>
  <c r="M12" i="4"/>
  <c r="N12" i="4"/>
  <c r="O12" i="4"/>
  <c r="P12" i="4"/>
  <c r="Q12" i="4"/>
  <c r="L13" i="4"/>
  <c r="M13" i="4"/>
  <c r="N13" i="4"/>
  <c r="O13" i="4"/>
  <c r="P13" i="4"/>
  <c r="Q13" i="4"/>
  <c r="L16" i="4"/>
  <c r="M16" i="4"/>
  <c r="N16" i="4"/>
  <c r="O16" i="4"/>
  <c r="P16" i="4"/>
  <c r="Q16" i="4"/>
  <c r="L17" i="4"/>
  <c r="M17" i="4"/>
  <c r="N17" i="4"/>
  <c r="O17" i="4"/>
  <c r="P17" i="4"/>
  <c r="Q17" i="4"/>
  <c r="L18" i="4"/>
  <c r="M18" i="4"/>
  <c r="N18" i="4"/>
  <c r="O18" i="4"/>
  <c r="P18" i="4"/>
  <c r="Q18" i="4"/>
  <c r="L19" i="4"/>
  <c r="M19" i="4"/>
  <c r="N19" i="4"/>
  <c r="O19" i="4"/>
  <c r="P19" i="4"/>
  <c r="Q19" i="4"/>
  <c r="L20" i="4"/>
  <c r="M20" i="4"/>
  <c r="N20" i="4"/>
  <c r="O20" i="4"/>
  <c r="P20" i="4"/>
  <c r="Q20" i="4"/>
  <c r="L21" i="4"/>
  <c r="M21" i="4"/>
  <c r="N21" i="4"/>
  <c r="O21" i="4"/>
  <c r="P21" i="4"/>
  <c r="Q21" i="4"/>
  <c r="L22" i="4"/>
  <c r="M22" i="4"/>
  <c r="N22" i="4"/>
  <c r="O22" i="4"/>
  <c r="P22" i="4"/>
  <c r="Q22" i="4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4" i="2"/>
  <c r="M4" i="2"/>
  <c r="N4" i="2"/>
  <c r="O4" i="2"/>
  <c r="P4" i="2"/>
  <c r="Q4" i="2"/>
  <c r="L5" i="2"/>
  <c r="M5" i="2"/>
  <c r="N5" i="2"/>
  <c r="O5" i="2"/>
  <c r="P5" i="2"/>
  <c r="Q5" i="2"/>
  <c r="L6" i="2"/>
  <c r="M6" i="2"/>
  <c r="N6" i="2"/>
  <c r="O6" i="2"/>
  <c r="P6" i="2"/>
  <c r="Q6" i="2"/>
  <c r="L7" i="2"/>
  <c r="M7" i="2"/>
  <c r="N7" i="2"/>
  <c r="O7" i="2"/>
  <c r="P7" i="2"/>
  <c r="Q7" i="2"/>
  <c r="L8" i="2"/>
  <c r="M8" i="2"/>
  <c r="N8" i="2"/>
  <c r="O8" i="2"/>
  <c r="P8" i="2"/>
  <c r="Q8" i="2"/>
  <c r="L9" i="2"/>
  <c r="M9" i="2"/>
  <c r="N9" i="2"/>
  <c r="O9" i="2"/>
  <c r="P9" i="2"/>
  <c r="Q9" i="2"/>
  <c r="L10" i="2"/>
  <c r="M10" i="2"/>
  <c r="N10" i="2"/>
  <c r="O10" i="2"/>
  <c r="P10" i="2"/>
  <c r="Q10" i="2"/>
  <c r="L11" i="2"/>
  <c r="M11" i="2"/>
  <c r="N11" i="2"/>
  <c r="O11" i="2"/>
  <c r="P11" i="2"/>
  <c r="Q11" i="2"/>
  <c r="L12" i="2"/>
  <c r="M12" i="2"/>
  <c r="N12" i="2"/>
  <c r="O12" i="2"/>
  <c r="P12" i="2"/>
  <c r="Q12" i="2"/>
  <c r="L13" i="2"/>
  <c r="M13" i="2"/>
  <c r="N13" i="2"/>
  <c r="O13" i="2"/>
  <c r="P13" i="2"/>
  <c r="Q13" i="2"/>
  <c r="L16" i="2"/>
  <c r="M16" i="2"/>
  <c r="N16" i="2"/>
  <c r="O16" i="2"/>
  <c r="P16" i="2"/>
  <c r="Q16" i="2"/>
  <c r="L17" i="2"/>
  <c r="M17" i="2"/>
  <c r="N17" i="2"/>
  <c r="O17" i="2"/>
  <c r="P17" i="2"/>
  <c r="Q17" i="2"/>
  <c r="L18" i="2"/>
  <c r="M18" i="2"/>
  <c r="N18" i="2"/>
  <c r="O18" i="2"/>
  <c r="P18" i="2"/>
  <c r="Q18" i="2"/>
  <c r="L19" i="2"/>
  <c r="M19" i="2"/>
  <c r="N19" i="2"/>
  <c r="O19" i="2"/>
  <c r="P19" i="2"/>
  <c r="Q19" i="2"/>
  <c r="L20" i="2"/>
  <c r="M20" i="2"/>
  <c r="N20" i="2"/>
  <c r="O20" i="2"/>
  <c r="P20" i="2"/>
  <c r="Q20" i="2"/>
  <c r="L21" i="2"/>
  <c r="M21" i="2"/>
  <c r="N21" i="2"/>
  <c r="O21" i="2"/>
  <c r="P21" i="2"/>
  <c r="Q21" i="2"/>
  <c r="L22" i="2"/>
  <c r="M22" i="2"/>
  <c r="N22" i="2"/>
  <c r="O22" i="2"/>
  <c r="P22" i="2"/>
  <c r="Q22" i="2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Q3" i="2"/>
  <c r="Q3" i="3"/>
  <c r="Q3" i="4"/>
  <c r="Q3" i="5"/>
  <c r="Q3" i="1"/>
  <c r="P3" i="2"/>
  <c r="P3" i="3"/>
  <c r="P3" i="4"/>
  <c r="P3" i="5"/>
  <c r="P3" i="1"/>
  <c r="O3" i="2"/>
  <c r="O3" i="3"/>
  <c r="O3" i="4"/>
  <c r="O3" i="5"/>
  <c r="O3" i="1"/>
  <c r="N3" i="2"/>
  <c r="N3" i="3"/>
  <c r="N3" i="4"/>
  <c r="N3" i="5"/>
  <c r="N3" i="1"/>
  <c r="M3" i="2"/>
  <c r="M3" i="3"/>
  <c r="M3" i="4"/>
  <c r="M3" i="5"/>
  <c r="M3" i="1"/>
  <c r="L3" i="2"/>
  <c r="L3" i="3"/>
  <c r="L3" i="4"/>
  <c r="L3" i="5"/>
  <c r="L3" i="1"/>
  <c r="I4" i="2"/>
  <c r="I3" i="2"/>
  <c r="H3" i="2"/>
</calcChain>
</file>

<file path=xl/sharedStrings.xml><?xml version="1.0" encoding="utf-8"?>
<sst xmlns="http://schemas.openxmlformats.org/spreadsheetml/2006/main" count="872" uniqueCount="93">
  <si>
    <t>Scale Name</t>
  </si>
  <si>
    <t>Scale</t>
  </si>
  <si>
    <t>Model</t>
  </si>
  <si>
    <t>GT</t>
  </si>
  <si>
    <t>TP</t>
  </si>
  <si>
    <t>FP</t>
  </si>
  <si>
    <t>FN</t>
  </si>
  <si>
    <t>Precision</t>
  </si>
  <si>
    <t>Recall</t>
  </si>
  <si>
    <t>F1</t>
  </si>
  <si>
    <t>original</t>
  </si>
  <si>
    <t>1x,1x,1x</t>
  </si>
  <si>
    <t>2x1y1z</t>
  </si>
  <si>
    <t>2x,1x,1x</t>
  </si>
  <si>
    <t>1x2y1z</t>
  </si>
  <si>
    <t>1x,2x,1x</t>
  </si>
  <si>
    <t>1x1y2z</t>
  </si>
  <si>
    <t>1x,1x,2x</t>
  </si>
  <si>
    <t>2x2y1z</t>
  </si>
  <si>
    <t>2x,2x,1x</t>
  </si>
  <si>
    <t>1x2y2z</t>
  </si>
  <si>
    <t>1x,2x,2x</t>
  </si>
  <si>
    <t>2x2y2z</t>
  </si>
  <si>
    <t>2x,2x,2x</t>
  </si>
  <si>
    <t>3x1y1z</t>
  </si>
  <si>
    <t>3x,1x,1x</t>
  </si>
  <si>
    <t>3x2y1z</t>
  </si>
  <si>
    <t>3x,2x,1x</t>
  </si>
  <si>
    <t>3x1y2z</t>
  </si>
  <si>
    <t>3x,1x,2x</t>
  </si>
  <si>
    <t>3x2y2z</t>
  </si>
  <si>
    <t>3x,2x,2x</t>
  </si>
  <si>
    <t>Oval</t>
  </si>
  <si>
    <t>Texture</t>
  </si>
  <si>
    <t>Linear</t>
  </si>
  <si>
    <t>Oval_Model</t>
  </si>
  <si>
    <t>Oval_GT</t>
  </si>
  <si>
    <t>Oval_TP</t>
  </si>
  <si>
    <t>Oval_FP</t>
  </si>
  <si>
    <t>Oval_FN</t>
  </si>
  <si>
    <t>Oval_Prec</t>
  </si>
  <si>
    <t>Oval_Recall</t>
  </si>
  <si>
    <t>Oval_F1</t>
  </si>
  <si>
    <t>Olympic_Model</t>
  </si>
  <si>
    <t>Olympic_GT</t>
  </si>
  <si>
    <t>Olympic_TP</t>
  </si>
  <si>
    <t>Olympic_FP</t>
  </si>
  <si>
    <t>Olympic_FN</t>
  </si>
  <si>
    <t>Olympic_Prec</t>
  </si>
  <si>
    <t>Olympic_Recall</t>
  </si>
  <si>
    <t>Olympic_F1</t>
  </si>
  <si>
    <t>Linear_Model</t>
  </si>
  <si>
    <t>Linear_GT</t>
  </si>
  <si>
    <t>Linear_TP</t>
  </si>
  <si>
    <t>Linear_FP</t>
  </si>
  <si>
    <t>Linear_FN</t>
  </si>
  <si>
    <t>Linear_Prec</t>
  </si>
  <si>
    <t>Linear_Recall</t>
  </si>
  <si>
    <t>Linear_F1</t>
  </si>
  <si>
    <t>Colonies_Model</t>
  </si>
  <si>
    <t>Colonies_GT</t>
  </si>
  <si>
    <t>Colonies_TP</t>
  </si>
  <si>
    <t>Colonies_FP</t>
  </si>
  <si>
    <t>Colonies_FN</t>
  </si>
  <si>
    <t>Colonies_Prec</t>
  </si>
  <si>
    <t>Colonies_Recall</t>
  </si>
  <si>
    <t>Colonies_F1</t>
  </si>
  <si>
    <t>Sinusoid_Model</t>
  </si>
  <si>
    <t>Sinusoid_GT</t>
  </si>
  <si>
    <t>Sinusoid_TP</t>
  </si>
  <si>
    <t>Sinusoid_FP</t>
  </si>
  <si>
    <t>Sinusoid_FN</t>
  </si>
  <si>
    <t>Sinusoid_Prec</t>
  </si>
  <si>
    <t>Sinusoid_Recall</t>
  </si>
  <si>
    <t>Sinusoid_F1</t>
  </si>
  <si>
    <t>Olympic-Ring</t>
  </si>
  <si>
    <t>Colonies</t>
  </si>
  <si>
    <t>Sinusoid</t>
  </si>
  <si>
    <t>8*8*8</t>
  </si>
  <si>
    <t>8*8*8*</t>
  </si>
  <si>
    <t>32*32*32</t>
  </si>
  <si>
    <t>1x1y1z</t>
  </si>
  <si>
    <t>IoU</t>
  </si>
  <si>
    <t>precision</t>
  </si>
  <si>
    <t>Recal</t>
  </si>
  <si>
    <t>Olympic-Rings</t>
  </si>
  <si>
    <t>16*16*16</t>
  </si>
  <si>
    <t>composite voxels</t>
  </si>
  <si>
    <t>Sinusoide</t>
  </si>
  <si>
    <t>8^3</t>
  </si>
  <si>
    <t>16^3</t>
  </si>
  <si>
    <t>32^3</t>
  </si>
  <si>
    <t>composite
 voxels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</si>
</sst>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4" fontId="0" fillId="0" borderId="0" xfId="0" applyNumberFormat="1"/>
    <xf numFmtId="4" fontId="0" fillId="0" borderId="1" xfId="0" applyNumberFormat="1" applyBorder="1"/>
    <xf numFmtId="4" fontId="0" fillId="0" borderId="1" xfId="0" applyNumberFormat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4" fontId="0" fillId="2" borderId="1" xfId="0" applyNumberFormat="1" applyFill="1" applyBorder="1"/>
    <xf numFmtId="4" fontId="0" fillId="3" borderId="1" xfId="0" applyNumberFormat="1" applyFill="1" applyBorder="1" applyAlignment="1"/>
    <xf numFmtId="4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wrapText="1"/>
    </xf>
    <xf numFmtId="4" fontId="0" fillId="3" borderId="1" xfId="0" applyNumberFormat="1" applyFill="1" applyBorder="1"/>
    <xf numFmtId="4" fontId="0" fillId="3" borderId="0" xfId="0" applyNumberFormat="1" applyFill="1" applyAlignment="1">
      <alignment vertical="center"/>
    </xf>
    <xf numFmtId="4" fontId="0" fillId="3" borderId="0" xfId="0" applyNumberFormat="1" applyFill="1" applyAlignment="1">
      <alignment horizontal="center" vertical="center"/>
    </xf>
    <xf numFmtId="4" fontId="0" fillId="0" borderId="0" xfId="0" applyNumberFormat="1" applyAlignment="1">
      <alignment vertical="center"/>
    </xf>
    <xf numFmtId="4" fontId="0" fillId="3" borderId="0" xfId="0" applyNumberFormat="1" applyFill="1" applyAlignment="1">
      <alignment vertical="center" wrapText="1"/>
    </xf>
    <xf numFmtId="4" fontId="0" fillId="2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3BC4-A1F6-4C4D-BB92-26738851F355}">
  <dimension ref="A1:U32"/>
  <sheetViews>
    <sheetView workbookViewId="0">
      <selection activeCell="P16" sqref="P16:U22"/>
    </sheetView>
  </sheetViews>
  <sheetFormatPr defaultRowHeight="14.4" x14ac:dyDescent="0.3"/>
  <cols>
    <col min="12" max="12" width="12.88671875" customWidth="1"/>
  </cols>
  <sheetData>
    <row r="1" spans="1:21" x14ac:dyDescent="0.3">
      <c r="A1" t="s">
        <v>32</v>
      </c>
    </row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2</v>
      </c>
      <c r="M2" t="s">
        <v>3</v>
      </c>
      <c r="N2" t="s">
        <v>83</v>
      </c>
      <c r="O2" t="s">
        <v>84</v>
      </c>
      <c r="P2" t="s">
        <v>9</v>
      </c>
      <c r="Q2" t="s">
        <v>82</v>
      </c>
    </row>
    <row r="3" spans="1:21" x14ac:dyDescent="0.3">
      <c r="A3" t="s">
        <v>81</v>
      </c>
      <c r="B3" t="s">
        <v>11</v>
      </c>
      <c r="C3">
        <v>2178</v>
      </c>
      <c r="D3">
        <v>2173</v>
      </c>
      <c r="E3">
        <v>1847</v>
      </c>
      <c r="F3">
        <v>331</v>
      </c>
      <c r="G3">
        <v>326</v>
      </c>
      <c r="H3">
        <v>0.84799999999999998</v>
      </c>
      <c r="I3">
        <v>0.85</v>
      </c>
      <c r="J3">
        <v>0.84899999999999998</v>
      </c>
      <c r="K3" s="1"/>
      <c r="L3">
        <f>E3+F3</f>
        <v>2178</v>
      </c>
      <c r="M3">
        <f>E3+G3</f>
        <v>2173</v>
      </c>
      <c r="N3">
        <f>E3/(F3+E3)</f>
        <v>0.8480257116620753</v>
      </c>
      <c r="O3">
        <f>E3/(E3+G3)</f>
        <v>0.8499769903359411</v>
      </c>
      <c r="P3">
        <f>2*E3/(2*E3+F3+G3)</f>
        <v>0.84900022983222245</v>
      </c>
      <c r="Q3">
        <f>E3/(E3+F3+G3)</f>
        <v>0.73761980830670926</v>
      </c>
    </row>
    <row r="4" spans="1:21" x14ac:dyDescent="0.3">
      <c r="A4" t="s">
        <v>12</v>
      </c>
      <c r="B4" t="s">
        <v>13</v>
      </c>
      <c r="C4">
        <v>2177</v>
      </c>
      <c r="D4">
        <v>2823</v>
      </c>
      <c r="E4">
        <v>1960</v>
      </c>
      <c r="F4">
        <v>217</v>
      </c>
      <c r="G4">
        <v>863</v>
      </c>
      <c r="H4">
        <v>0.90029999999999999</v>
      </c>
      <c r="I4">
        <v>0.69430000000000003</v>
      </c>
      <c r="J4">
        <v>0.78400000000000003</v>
      </c>
      <c r="K4" s="1"/>
      <c r="L4">
        <f t="shared" ref="L4:L22" si="0">E4+F4</f>
        <v>2177</v>
      </c>
      <c r="M4">
        <f t="shared" ref="M4:M22" si="1">E4+G4</f>
        <v>2823</v>
      </c>
      <c r="N4">
        <f t="shared" ref="N4:N22" si="2">E4/(F4+E4)</f>
        <v>0.90032154340836013</v>
      </c>
      <c r="O4">
        <f t="shared" ref="O4:O22" si="3">E4/(E4+G4)</f>
        <v>0.6942968473255402</v>
      </c>
      <c r="P4">
        <f t="shared" ref="P4:P22" si="4">2*E4/(2*E4+F4+G4)</f>
        <v>0.78400000000000003</v>
      </c>
      <c r="Q4">
        <f t="shared" ref="Q4:Q22" si="5">E4/(E4+F4+G4)</f>
        <v>0.64473684210526316</v>
      </c>
    </row>
    <row r="5" spans="1:21" x14ac:dyDescent="0.3">
      <c r="A5" t="s">
        <v>14</v>
      </c>
      <c r="B5" t="s">
        <v>15</v>
      </c>
      <c r="C5">
        <v>5246</v>
      </c>
      <c r="D5">
        <v>5754</v>
      </c>
      <c r="E5">
        <v>4587</v>
      </c>
      <c r="F5">
        <v>659</v>
      </c>
      <c r="G5">
        <v>1167</v>
      </c>
      <c r="H5">
        <v>0.87439999999999996</v>
      </c>
      <c r="I5">
        <v>0.79720000000000002</v>
      </c>
      <c r="J5">
        <v>0.83399999999999996</v>
      </c>
      <c r="K5" s="1"/>
      <c r="L5">
        <f t="shared" si="0"/>
        <v>5246</v>
      </c>
      <c r="M5">
        <f t="shared" si="1"/>
        <v>5754</v>
      </c>
      <c r="N5">
        <f t="shared" si="2"/>
        <v>0.87438048036599314</v>
      </c>
      <c r="O5">
        <f t="shared" si="3"/>
        <v>0.79718456725755993</v>
      </c>
      <c r="P5">
        <f t="shared" si="4"/>
        <v>0.83399999999999996</v>
      </c>
      <c r="Q5">
        <f t="shared" si="5"/>
        <v>0.71526586620926247</v>
      </c>
    </row>
    <row r="6" spans="1:21" x14ac:dyDescent="0.3">
      <c r="A6" t="s">
        <v>16</v>
      </c>
      <c r="B6" t="s">
        <v>17</v>
      </c>
      <c r="C6">
        <v>2178</v>
      </c>
      <c r="D6">
        <v>2297</v>
      </c>
      <c r="E6">
        <v>1969</v>
      </c>
      <c r="F6">
        <v>209</v>
      </c>
      <c r="G6">
        <v>328</v>
      </c>
      <c r="H6">
        <v>0.90400000000000003</v>
      </c>
      <c r="I6">
        <v>0.85719999999999996</v>
      </c>
      <c r="J6">
        <v>0.88</v>
      </c>
      <c r="K6" s="1"/>
      <c r="L6">
        <f t="shared" si="0"/>
        <v>2178</v>
      </c>
      <c r="M6">
        <f t="shared" si="1"/>
        <v>2297</v>
      </c>
      <c r="N6">
        <f t="shared" si="2"/>
        <v>0.90404040404040409</v>
      </c>
      <c r="O6">
        <f t="shared" si="3"/>
        <v>0.85720505006530257</v>
      </c>
      <c r="P6">
        <f t="shared" si="4"/>
        <v>0.88</v>
      </c>
      <c r="Q6">
        <f t="shared" si="5"/>
        <v>0.7857142857142857</v>
      </c>
    </row>
    <row r="7" spans="1:21" x14ac:dyDescent="0.3">
      <c r="A7" t="s">
        <v>18</v>
      </c>
      <c r="B7" t="s">
        <v>19</v>
      </c>
      <c r="C7">
        <v>8239</v>
      </c>
      <c r="D7">
        <v>8961</v>
      </c>
      <c r="E7">
        <v>7353</v>
      </c>
      <c r="F7">
        <v>886</v>
      </c>
      <c r="G7">
        <v>1608</v>
      </c>
      <c r="H7">
        <v>0.89249999999999996</v>
      </c>
      <c r="I7">
        <v>0.8206</v>
      </c>
      <c r="J7">
        <v>0.85499999999999998</v>
      </c>
      <c r="K7" s="1"/>
      <c r="L7">
        <f t="shared" si="0"/>
        <v>8239</v>
      </c>
      <c r="M7">
        <f t="shared" si="1"/>
        <v>8961</v>
      </c>
      <c r="N7">
        <f t="shared" si="2"/>
        <v>0.89246267750940644</v>
      </c>
      <c r="O7">
        <f t="shared" si="3"/>
        <v>0.82055574154670241</v>
      </c>
      <c r="P7">
        <f t="shared" si="4"/>
        <v>0.85499999999999998</v>
      </c>
      <c r="Q7">
        <f t="shared" si="5"/>
        <v>0.74672489082969429</v>
      </c>
    </row>
    <row r="8" spans="1:21" x14ac:dyDescent="0.3">
      <c r="A8" t="s">
        <v>20</v>
      </c>
      <c r="B8" t="s">
        <v>21</v>
      </c>
      <c r="C8">
        <v>5245</v>
      </c>
      <c r="D8">
        <v>4958</v>
      </c>
      <c r="E8">
        <v>4423</v>
      </c>
      <c r="F8">
        <v>822</v>
      </c>
      <c r="G8">
        <v>535</v>
      </c>
      <c r="H8">
        <v>0.84330000000000005</v>
      </c>
      <c r="I8">
        <v>0.8921</v>
      </c>
      <c r="J8">
        <v>0.86699999999999999</v>
      </c>
      <c r="K8" s="1"/>
      <c r="L8">
        <f t="shared" si="0"/>
        <v>5245</v>
      </c>
      <c r="M8">
        <f t="shared" si="1"/>
        <v>4958</v>
      </c>
      <c r="N8">
        <f t="shared" si="2"/>
        <v>0.84327931363203046</v>
      </c>
      <c r="O8">
        <f t="shared" si="3"/>
        <v>0.89209358612343692</v>
      </c>
      <c r="P8">
        <f t="shared" si="4"/>
        <v>0.86699990198961085</v>
      </c>
      <c r="Q8">
        <f t="shared" si="5"/>
        <v>0.7652249134948097</v>
      </c>
    </row>
    <row r="9" spans="1:21" x14ac:dyDescent="0.3">
      <c r="A9" t="s">
        <v>22</v>
      </c>
      <c r="B9" t="s">
        <v>23</v>
      </c>
      <c r="C9">
        <v>8239</v>
      </c>
      <c r="D9">
        <v>8761</v>
      </c>
      <c r="E9">
        <v>7123</v>
      </c>
      <c r="F9">
        <v>1116</v>
      </c>
      <c r="G9">
        <v>1638</v>
      </c>
      <c r="H9">
        <v>0.86450000000000005</v>
      </c>
      <c r="I9">
        <v>0.81299999999999994</v>
      </c>
      <c r="J9">
        <v>0.83799999999999997</v>
      </c>
      <c r="K9" s="1"/>
      <c r="L9">
        <f t="shared" si="0"/>
        <v>8239</v>
      </c>
      <c r="M9">
        <f t="shared" si="1"/>
        <v>8761</v>
      </c>
      <c r="N9">
        <f t="shared" si="2"/>
        <v>0.86454666828498605</v>
      </c>
      <c r="O9">
        <f t="shared" si="3"/>
        <v>0.81303504166191076</v>
      </c>
      <c r="P9">
        <f t="shared" si="4"/>
        <v>0.83799999999999997</v>
      </c>
      <c r="Q9">
        <f t="shared" si="5"/>
        <v>0.72117039586919107</v>
      </c>
    </row>
    <row r="10" spans="1:21" x14ac:dyDescent="0.3">
      <c r="A10" t="s">
        <v>24</v>
      </c>
      <c r="B10" t="s">
        <v>25</v>
      </c>
      <c r="C10">
        <v>2178</v>
      </c>
      <c r="D10">
        <v>3435</v>
      </c>
      <c r="E10">
        <v>1900</v>
      </c>
      <c r="F10">
        <v>278</v>
      </c>
      <c r="G10">
        <v>1535</v>
      </c>
      <c r="H10">
        <v>0.87239999999999995</v>
      </c>
      <c r="I10">
        <v>0.55310000000000004</v>
      </c>
      <c r="J10">
        <v>0.67700000000000005</v>
      </c>
      <c r="K10" s="1"/>
      <c r="L10">
        <f t="shared" si="0"/>
        <v>2178</v>
      </c>
      <c r="M10">
        <f t="shared" si="1"/>
        <v>3435</v>
      </c>
      <c r="N10">
        <f t="shared" si="2"/>
        <v>0.87235996326905418</v>
      </c>
      <c r="O10">
        <f t="shared" si="3"/>
        <v>0.55312954876273657</v>
      </c>
      <c r="P10">
        <f t="shared" si="4"/>
        <v>0.67699982184215213</v>
      </c>
      <c r="Q10">
        <f t="shared" si="5"/>
        <v>0.5117155938594129</v>
      </c>
    </row>
    <row r="11" spans="1:21" x14ac:dyDescent="0.3">
      <c r="A11" t="s">
        <v>26</v>
      </c>
      <c r="B11" t="s">
        <v>27</v>
      </c>
      <c r="C11">
        <v>8250</v>
      </c>
      <c r="D11">
        <v>13750</v>
      </c>
      <c r="E11">
        <v>7403</v>
      </c>
      <c r="F11">
        <v>847</v>
      </c>
      <c r="G11">
        <v>6347</v>
      </c>
      <c r="H11">
        <v>0.89729999999999999</v>
      </c>
      <c r="I11">
        <v>0.53839999999999999</v>
      </c>
      <c r="J11">
        <v>0.67300000000000004</v>
      </c>
      <c r="K11" s="1"/>
      <c r="L11">
        <f t="shared" si="0"/>
        <v>8250</v>
      </c>
      <c r="M11">
        <f t="shared" si="1"/>
        <v>13750</v>
      </c>
      <c r="N11">
        <f t="shared" si="2"/>
        <v>0.89733333333333332</v>
      </c>
      <c r="O11">
        <f t="shared" si="3"/>
        <v>0.53839999999999999</v>
      </c>
      <c r="P11">
        <f t="shared" si="4"/>
        <v>0.67300000000000004</v>
      </c>
      <c r="Q11">
        <f t="shared" si="5"/>
        <v>0.50715900527505653</v>
      </c>
    </row>
    <row r="12" spans="1:21" x14ac:dyDescent="0.3">
      <c r="A12" t="s">
        <v>28</v>
      </c>
      <c r="B12" t="s">
        <v>29</v>
      </c>
      <c r="C12">
        <v>2178</v>
      </c>
      <c r="D12">
        <v>3822</v>
      </c>
      <c r="E12">
        <v>1878</v>
      </c>
      <c r="F12">
        <v>300</v>
      </c>
      <c r="G12">
        <v>1944</v>
      </c>
      <c r="H12">
        <v>0.86229999999999996</v>
      </c>
      <c r="I12">
        <v>0.4914</v>
      </c>
      <c r="J12">
        <v>0.626</v>
      </c>
      <c r="K12" s="1"/>
      <c r="L12">
        <f t="shared" si="0"/>
        <v>2178</v>
      </c>
      <c r="M12">
        <f t="shared" si="1"/>
        <v>3822</v>
      </c>
      <c r="N12">
        <f t="shared" si="2"/>
        <v>0.86225895316804413</v>
      </c>
      <c r="O12">
        <f t="shared" si="3"/>
        <v>0.49136577708006279</v>
      </c>
      <c r="P12">
        <f t="shared" si="4"/>
        <v>0.626</v>
      </c>
      <c r="Q12">
        <f t="shared" si="5"/>
        <v>0.45560407569141192</v>
      </c>
    </row>
    <row r="13" spans="1:21" x14ac:dyDescent="0.3">
      <c r="A13" t="s">
        <v>30</v>
      </c>
      <c r="B13" t="s">
        <v>31</v>
      </c>
      <c r="C13">
        <v>8250</v>
      </c>
      <c r="D13">
        <v>14750</v>
      </c>
      <c r="E13">
        <v>7452</v>
      </c>
      <c r="F13">
        <v>798</v>
      </c>
      <c r="G13">
        <v>7298</v>
      </c>
      <c r="H13">
        <v>0.90329999999999999</v>
      </c>
      <c r="I13">
        <v>0.50519999999999998</v>
      </c>
      <c r="J13">
        <v>0.64800000000000002</v>
      </c>
      <c r="K13" s="1"/>
      <c r="L13">
        <f t="shared" si="0"/>
        <v>8250</v>
      </c>
      <c r="M13">
        <f t="shared" si="1"/>
        <v>14750</v>
      </c>
      <c r="N13">
        <f t="shared" si="2"/>
        <v>0.90327272727272723</v>
      </c>
      <c r="O13">
        <f t="shared" si="3"/>
        <v>0.50522033898305085</v>
      </c>
      <c r="P13">
        <f t="shared" si="4"/>
        <v>0.64800000000000002</v>
      </c>
      <c r="Q13">
        <f t="shared" si="5"/>
        <v>0.47928994082840237</v>
      </c>
    </row>
    <row r="14" spans="1:21" x14ac:dyDescent="0.3">
      <c r="A14" t="s">
        <v>78</v>
      </c>
    </row>
    <row r="15" spans="1:21" ht="28.8" x14ac:dyDescent="0.3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9</v>
      </c>
    </row>
    <row r="16" spans="1:21" x14ac:dyDescent="0.3">
      <c r="A16" s="7" t="s">
        <v>81</v>
      </c>
      <c r="B16" s="7" t="s">
        <v>11</v>
      </c>
      <c r="C16" s="7">
        <v>15196</v>
      </c>
      <c r="D16" s="7">
        <v>14782</v>
      </c>
      <c r="E16" s="7">
        <v>14031</v>
      </c>
      <c r="F16" s="7">
        <v>1165</v>
      </c>
      <c r="G16" s="7">
        <v>751</v>
      </c>
      <c r="H16" s="7">
        <v>0.92330000000000001</v>
      </c>
      <c r="I16" s="7">
        <v>0.94920000000000004</v>
      </c>
      <c r="J16" s="7">
        <v>0.93600000000000005</v>
      </c>
      <c r="L16">
        <f t="shared" si="0"/>
        <v>15196</v>
      </c>
      <c r="M16">
        <f t="shared" si="1"/>
        <v>14782</v>
      </c>
      <c r="N16">
        <f t="shared" si="2"/>
        <v>0.92333508818110033</v>
      </c>
      <c r="O16">
        <f t="shared" si="3"/>
        <v>0.94919496685157623</v>
      </c>
      <c r="P16">
        <f t="shared" si="4"/>
        <v>0.93608646340649815</v>
      </c>
      <c r="Q16">
        <f t="shared" si="5"/>
        <v>0.87985200978240419</v>
      </c>
      <c r="R16">
        <v>0.84900022983222245</v>
      </c>
      <c r="S16">
        <v>0.73761980830670926</v>
      </c>
      <c r="T16">
        <v>0.79644588045234244</v>
      </c>
      <c r="U16">
        <v>0.661744966442953</v>
      </c>
    </row>
    <row r="17" spans="1:21" x14ac:dyDescent="0.3">
      <c r="A17" s="7" t="s">
        <v>12</v>
      </c>
      <c r="B17" s="7" t="s">
        <v>13</v>
      </c>
      <c r="C17" s="7">
        <v>18812</v>
      </c>
      <c r="D17" s="7">
        <v>14861</v>
      </c>
      <c r="E17" s="7">
        <v>16924</v>
      </c>
      <c r="F17" s="7">
        <v>1888</v>
      </c>
      <c r="G17" s="7">
        <v>1937</v>
      </c>
      <c r="H17" s="7">
        <v>0.89970000000000006</v>
      </c>
      <c r="I17" s="7">
        <v>0.89700000000000002</v>
      </c>
      <c r="J17" s="7">
        <v>0.89829999999999999</v>
      </c>
      <c r="L17">
        <f t="shared" si="0"/>
        <v>18812</v>
      </c>
      <c r="M17">
        <f t="shared" si="1"/>
        <v>18861</v>
      </c>
      <c r="N17">
        <f t="shared" si="2"/>
        <v>0.8996385285987667</v>
      </c>
      <c r="O17">
        <f t="shared" si="3"/>
        <v>0.89730130958061605</v>
      </c>
      <c r="P17">
        <f t="shared" si="4"/>
        <v>0.89846839911873222</v>
      </c>
      <c r="Q17">
        <f t="shared" si="5"/>
        <v>0.81565376644657572</v>
      </c>
      <c r="R17">
        <v>0.78400000000000003</v>
      </c>
      <c r="S17">
        <v>0.64473684210526316</v>
      </c>
      <c r="T17">
        <v>0.7034965034965035</v>
      </c>
      <c r="U17">
        <v>0.54261057173678529</v>
      </c>
    </row>
    <row r="18" spans="1:21" x14ac:dyDescent="0.3">
      <c r="A18" s="7" t="s">
        <v>14</v>
      </c>
      <c r="B18" s="7" t="s">
        <v>15</v>
      </c>
      <c r="C18" s="7">
        <v>38496</v>
      </c>
      <c r="D18" s="7">
        <v>35724</v>
      </c>
      <c r="E18" s="7">
        <v>32489</v>
      </c>
      <c r="F18" s="7">
        <v>6007</v>
      </c>
      <c r="G18" s="7">
        <v>3235</v>
      </c>
      <c r="H18" s="7">
        <v>0.84399999999999997</v>
      </c>
      <c r="I18" s="7">
        <v>0.90949999999999998</v>
      </c>
      <c r="J18" s="7">
        <v>0.87560000000000004</v>
      </c>
      <c r="L18">
        <f t="shared" si="0"/>
        <v>38496</v>
      </c>
      <c r="M18">
        <f t="shared" si="1"/>
        <v>35724</v>
      </c>
      <c r="N18">
        <f t="shared" si="2"/>
        <v>0.84395781379883628</v>
      </c>
      <c r="O18">
        <f t="shared" si="3"/>
        <v>0.90944463106035156</v>
      </c>
      <c r="P18">
        <f t="shared" si="4"/>
        <v>0.87547830773376445</v>
      </c>
      <c r="Q18">
        <f t="shared" si="5"/>
        <v>0.7785339435910954</v>
      </c>
      <c r="R18">
        <v>0.83399999999999996</v>
      </c>
      <c r="S18">
        <v>0.71526586620926247</v>
      </c>
      <c r="T18">
        <v>0.71671276175424736</v>
      </c>
      <c r="U18">
        <v>0.55849753694581283</v>
      </c>
    </row>
    <row r="19" spans="1:21" x14ac:dyDescent="0.3">
      <c r="A19" s="7" t="s">
        <v>16</v>
      </c>
      <c r="B19" s="7" t="s">
        <v>17</v>
      </c>
      <c r="C19" s="7">
        <v>16094</v>
      </c>
      <c r="D19" s="7">
        <v>15021</v>
      </c>
      <c r="E19" s="7">
        <v>14378</v>
      </c>
      <c r="F19" s="7">
        <v>1716</v>
      </c>
      <c r="G19" s="7">
        <v>643</v>
      </c>
      <c r="H19" s="7">
        <v>0.89339999999999997</v>
      </c>
      <c r="I19" s="7">
        <v>0.95720000000000005</v>
      </c>
      <c r="J19" s="7">
        <v>0.92420000000000002</v>
      </c>
      <c r="L19">
        <f t="shared" si="0"/>
        <v>16094</v>
      </c>
      <c r="M19">
        <f t="shared" si="1"/>
        <v>15021</v>
      </c>
      <c r="N19">
        <f t="shared" si="2"/>
        <v>0.89337641357027464</v>
      </c>
      <c r="O19">
        <f t="shared" si="3"/>
        <v>0.95719326276546168</v>
      </c>
      <c r="P19">
        <f t="shared" si="4"/>
        <v>0.92418447694038242</v>
      </c>
      <c r="Q19">
        <f t="shared" si="5"/>
        <v>0.85905478879130071</v>
      </c>
      <c r="R19">
        <v>0.88</v>
      </c>
      <c r="S19">
        <v>0.7857142857142857</v>
      </c>
      <c r="T19">
        <v>0.81234361968306923</v>
      </c>
      <c r="U19">
        <v>0.6839887640449438</v>
      </c>
    </row>
    <row r="20" spans="1:21" x14ac:dyDescent="0.3">
      <c r="A20" s="7" t="s">
        <v>18</v>
      </c>
      <c r="B20" s="7" t="s">
        <v>19</v>
      </c>
      <c r="C20" s="7">
        <v>59027</v>
      </c>
      <c r="D20" s="7">
        <v>55941</v>
      </c>
      <c r="E20" s="7">
        <v>50612</v>
      </c>
      <c r="F20" s="7">
        <v>8415</v>
      </c>
      <c r="G20" s="7">
        <v>5329</v>
      </c>
      <c r="H20" s="7">
        <v>0.85740000000000005</v>
      </c>
      <c r="I20" s="7">
        <v>0.90480000000000005</v>
      </c>
      <c r="J20" s="7">
        <v>0.88039999999999996</v>
      </c>
      <c r="L20">
        <f t="shared" si="0"/>
        <v>59027</v>
      </c>
      <c r="M20">
        <f t="shared" si="1"/>
        <v>55941</v>
      </c>
      <c r="N20">
        <f t="shared" si="2"/>
        <v>0.85743812153760146</v>
      </c>
      <c r="O20">
        <f t="shared" si="3"/>
        <v>0.90473892136357947</v>
      </c>
      <c r="P20">
        <f t="shared" si="4"/>
        <v>0.88045369146197205</v>
      </c>
      <c r="Q20">
        <f t="shared" si="5"/>
        <v>0.78643793896450986</v>
      </c>
      <c r="R20">
        <v>0.85499999999999998</v>
      </c>
      <c r="S20">
        <v>0.74672489082969429</v>
      </c>
      <c r="T20">
        <v>0.75070159027128158</v>
      </c>
      <c r="U20">
        <v>0.60089853987270681</v>
      </c>
    </row>
    <row r="21" spans="1:21" x14ac:dyDescent="0.3">
      <c r="A21" s="7" t="s">
        <v>20</v>
      </c>
      <c r="B21" s="7" t="s">
        <v>21</v>
      </c>
      <c r="C21" s="7">
        <v>37214</v>
      </c>
      <c r="D21" s="7">
        <v>35891</v>
      </c>
      <c r="E21" s="7">
        <v>33102</v>
      </c>
      <c r="F21" s="7">
        <v>4112</v>
      </c>
      <c r="G21" s="7">
        <v>2789</v>
      </c>
      <c r="H21" s="7">
        <v>0.88949999999999996</v>
      </c>
      <c r="I21" s="7">
        <v>0.92230000000000001</v>
      </c>
      <c r="J21" s="7">
        <v>0.90559999999999996</v>
      </c>
      <c r="L21">
        <f t="shared" si="0"/>
        <v>37214</v>
      </c>
      <c r="M21">
        <f t="shared" si="1"/>
        <v>35891</v>
      </c>
      <c r="N21">
        <f t="shared" si="2"/>
        <v>0.88950395012629657</v>
      </c>
      <c r="O21">
        <f t="shared" si="3"/>
        <v>0.92229249672619873</v>
      </c>
      <c r="P21">
        <f t="shared" si="4"/>
        <v>0.90560153204295191</v>
      </c>
      <c r="Q21">
        <f t="shared" si="5"/>
        <v>0.82748793840461965</v>
      </c>
      <c r="R21">
        <v>0.86699990198961085</v>
      </c>
      <c r="S21">
        <v>0.7652249134948097</v>
      </c>
      <c r="T21">
        <v>0.79067898754519883</v>
      </c>
      <c r="U21">
        <v>0.65382059800664449</v>
      </c>
    </row>
    <row r="22" spans="1:21" x14ac:dyDescent="0.3">
      <c r="A22" s="7" t="s">
        <v>22</v>
      </c>
      <c r="B22" s="7" t="s">
        <v>23</v>
      </c>
      <c r="C22" s="7">
        <v>59237</v>
      </c>
      <c r="D22" s="7">
        <v>56084</v>
      </c>
      <c r="E22" s="7">
        <v>50791</v>
      </c>
      <c r="F22" s="7">
        <v>8446</v>
      </c>
      <c r="G22" s="7">
        <v>5293</v>
      </c>
      <c r="H22" s="7">
        <v>0.85750000000000004</v>
      </c>
      <c r="I22" s="7">
        <v>0.90569999999999995</v>
      </c>
      <c r="J22" s="7">
        <v>0.88090000000000002</v>
      </c>
      <c r="L22">
        <f t="shared" si="0"/>
        <v>59237</v>
      </c>
      <c r="M22">
        <f t="shared" si="1"/>
        <v>56084</v>
      </c>
      <c r="N22">
        <f t="shared" si="2"/>
        <v>0.85742019346016851</v>
      </c>
      <c r="O22">
        <f t="shared" si="3"/>
        <v>0.90562370729619857</v>
      </c>
      <c r="P22">
        <f t="shared" si="4"/>
        <v>0.8808629824576617</v>
      </c>
      <c r="Q22">
        <f t="shared" si="5"/>
        <v>0.78709127537579415</v>
      </c>
      <c r="R22">
        <v>0.83799999999999997</v>
      </c>
      <c r="S22">
        <v>0.72117039586919107</v>
      </c>
      <c r="T22">
        <v>0.73849821215733014</v>
      </c>
      <c r="U22">
        <v>0.58541194255479967</v>
      </c>
    </row>
    <row r="23" spans="1:2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21" ht="28.8" x14ac:dyDescent="0.3">
      <c r="A24" s="7" t="s">
        <v>80</v>
      </c>
      <c r="B24" s="7"/>
      <c r="C24" s="7"/>
      <c r="D24" s="7"/>
      <c r="E24" s="7"/>
      <c r="F24" s="7"/>
      <c r="G24" s="7"/>
      <c r="H24" s="7"/>
      <c r="I24" s="7"/>
      <c r="J24" s="7"/>
    </row>
    <row r="25" spans="1:21" ht="28.8" x14ac:dyDescent="0.3">
      <c r="A25" s="6" t="s">
        <v>0</v>
      </c>
      <c r="B25" s="6" t="s">
        <v>1</v>
      </c>
      <c r="C25" s="9" t="s">
        <v>2</v>
      </c>
      <c r="D25" s="9" t="s">
        <v>3</v>
      </c>
      <c r="E25" s="9" t="s">
        <v>4</v>
      </c>
      <c r="F25" s="9" t="s">
        <v>5</v>
      </c>
      <c r="G25" s="9" t="s">
        <v>6</v>
      </c>
      <c r="H25" s="9" t="s">
        <v>7</v>
      </c>
      <c r="I25" s="9" t="s">
        <v>8</v>
      </c>
      <c r="J25" s="9" t="s">
        <v>9</v>
      </c>
    </row>
    <row r="26" spans="1:21" x14ac:dyDescent="0.3">
      <c r="A26" s="7" t="s">
        <v>81</v>
      </c>
      <c r="B26" s="7" t="s">
        <v>11</v>
      </c>
      <c r="C26" s="8">
        <v>602</v>
      </c>
      <c r="D26" s="8">
        <v>636</v>
      </c>
      <c r="E26" s="8">
        <v>493</v>
      </c>
      <c r="F26" s="8">
        <v>109</v>
      </c>
      <c r="G26" s="8">
        <v>143</v>
      </c>
      <c r="H26" s="8">
        <v>0.81408000000000003</v>
      </c>
      <c r="I26" s="8">
        <v>0.78200000000000003</v>
      </c>
      <c r="J26" s="8">
        <v>0.79771800000000004</v>
      </c>
      <c r="L26">
        <f t="shared" ref="L23:L32" si="6">E26+F26</f>
        <v>602</v>
      </c>
      <c r="M26">
        <f t="shared" ref="M23:M32" si="7">E26+G26</f>
        <v>636</v>
      </c>
      <c r="N26">
        <f t="shared" ref="N23:N32" si="8">E26/(F26+E26)</f>
        <v>0.81893687707641194</v>
      </c>
      <c r="O26">
        <f t="shared" ref="O23:O32" si="9">E26/(E26+G26)</f>
        <v>0.77515723270440251</v>
      </c>
      <c r="P26">
        <f t="shared" ref="P23:P32" si="10">2*E26/(2*E26+F26+G26)</f>
        <v>0.79644588045234244</v>
      </c>
      <c r="Q26">
        <f t="shared" ref="Q23:Q32" si="11">E26/(E26+F26+G26)</f>
        <v>0.661744966442953</v>
      </c>
    </row>
    <row r="27" spans="1:21" x14ac:dyDescent="0.3">
      <c r="A27" s="7" t="s">
        <v>12</v>
      </c>
      <c r="B27" s="7" t="s">
        <v>13</v>
      </c>
      <c r="C27" s="8">
        <v>581</v>
      </c>
      <c r="D27" s="8">
        <v>849</v>
      </c>
      <c r="E27" s="8">
        <v>503</v>
      </c>
      <c r="F27" s="8">
        <v>78</v>
      </c>
      <c r="G27" s="8">
        <v>346</v>
      </c>
      <c r="H27" s="8">
        <v>0.86428799999999995</v>
      </c>
      <c r="I27" s="8">
        <v>0.61098399999999997</v>
      </c>
      <c r="J27" s="8">
        <v>0.71589000000000003</v>
      </c>
      <c r="L27">
        <f t="shared" si="6"/>
        <v>581</v>
      </c>
      <c r="M27">
        <f t="shared" si="7"/>
        <v>849</v>
      </c>
      <c r="N27">
        <f t="shared" si="8"/>
        <v>0.86574870912220314</v>
      </c>
      <c r="O27">
        <f t="shared" si="9"/>
        <v>0.59246171967020023</v>
      </c>
      <c r="P27">
        <f t="shared" si="10"/>
        <v>0.7034965034965035</v>
      </c>
      <c r="Q27">
        <f t="shared" si="11"/>
        <v>0.54261057173678529</v>
      </c>
    </row>
    <row r="28" spans="1:21" x14ac:dyDescent="0.3">
      <c r="A28" s="7" t="s">
        <v>14</v>
      </c>
      <c r="B28" s="7" t="s">
        <v>15</v>
      </c>
      <c r="C28" s="8">
        <v>1122</v>
      </c>
      <c r="D28" s="8">
        <v>1409</v>
      </c>
      <c r="E28" s="8">
        <v>907</v>
      </c>
      <c r="F28" s="8">
        <v>215</v>
      </c>
      <c r="G28" s="8">
        <v>502</v>
      </c>
      <c r="H28" s="8">
        <v>0.83942399999999995</v>
      </c>
      <c r="I28" s="8">
        <v>0.71748000000000001</v>
      </c>
      <c r="J28" s="8">
        <v>0.77367600000000003</v>
      </c>
      <c r="L28">
        <f t="shared" si="6"/>
        <v>1122</v>
      </c>
      <c r="M28">
        <f t="shared" si="7"/>
        <v>1409</v>
      </c>
      <c r="N28">
        <f t="shared" si="8"/>
        <v>0.80837789661319071</v>
      </c>
      <c r="O28">
        <f t="shared" si="9"/>
        <v>0.64371894960965226</v>
      </c>
      <c r="P28">
        <f t="shared" si="10"/>
        <v>0.71671276175424736</v>
      </c>
      <c r="Q28">
        <f t="shared" si="11"/>
        <v>0.55849753694581283</v>
      </c>
    </row>
    <row r="29" spans="1:21" x14ac:dyDescent="0.3">
      <c r="A29" s="7" t="s">
        <v>16</v>
      </c>
      <c r="B29" s="7" t="s">
        <v>17</v>
      </c>
      <c r="C29" s="8">
        <v>558</v>
      </c>
      <c r="D29" s="8">
        <v>641</v>
      </c>
      <c r="E29" s="8">
        <v>487</v>
      </c>
      <c r="F29" s="8">
        <v>71</v>
      </c>
      <c r="G29" s="8">
        <v>154</v>
      </c>
      <c r="H29" s="8">
        <v>0.86783999999999994</v>
      </c>
      <c r="I29" s="8">
        <v>0.78005199999999997</v>
      </c>
      <c r="J29" s="8">
        <v>0.821608</v>
      </c>
      <c r="L29">
        <f t="shared" si="6"/>
        <v>558</v>
      </c>
      <c r="M29">
        <f t="shared" si="7"/>
        <v>641</v>
      </c>
      <c r="N29">
        <f t="shared" si="8"/>
        <v>0.87275985663082434</v>
      </c>
      <c r="O29">
        <f t="shared" si="9"/>
        <v>0.75975039001560063</v>
      </c>
      <c r="P29">
        <f t="shared" si="10"/>
        <v>0.81234361968306923</v>
      </c>
      <c r="Q29">
        <f t="shared" si="11"/>
        <v>0.6839887640449438</v>
      </c>
    </row>
    <row r="30" spans="1:21" x14ac:dyDescent="0.3">
      <c r="A30" s="7" t="s">
        <v>18</v>
      </c>
      <c r="B30" s="7" t="s">
        <v>19</v>
      </c>
      <c r="C30" s="8">
        <v>1917</v>
      </c>
      <c r="D30" s="8">
        <v>2359</v>
      </c>
      <c r="E30" s="8">
        <v>1605</v>
      </c>
      <c r="F30" s="8">
        <v>312</v>
      </c>
      <c r="G30" s="8">
        <v>754</v>
      </c>
      <c r="H30" s="8">
        <v>0.85680000000000001</v>
      </c>
      <c r="I30" s="8">
        <v>0.73033400000000004</v>
      </c>
      <c r="J30" s="8">
        <v>0.78852800000000001</v>
      </c>
      <c r="L30">
        <f t="shared" si="6"/>
        <v>1917</v>
      </c>
      <c r="M30">
        <f t="shared" si="7"/>
        <v>2359</v>
      </c>
      <c r="N30">
        <f t="shared" si="8"/>
        <v>0.83724569640062596</v>
      </c>
      <c r="O30">
        <f t="shared" si="9"/>
        <v>0.68037303942348448</v>
      </c>
      <c r="P30">
        <f t="shared" si="10"/>
        <v>0.75070159027128158</v>
      </c>
      <c r="Q30">
        <f t="shared" si="11"/>
        <v>0.60089853987270681</v>
      </c>
    </row>
    <row r="31" spans="1:21" x14ac:dyDescent="0.3">
      <c r="A31" s="7" t="s">
        <v>20</v>
      </c>
      <c r="B31" s="7" t="s">
        <v>21</v>
      </c>
      <c r="C31" s="8">
        <v>1237</v>
      </c>
      <c r="D31" s="8">
        <v>1252</v>
      </c>
      <c r="E31" s="8">
        <v>984</v>
      </c>
      <c r="F31" s="8">
        <v>253</v>
      </c>
      <c r="G31" s="8">
        <v>268</v>
      </c>
      <c r="H31" s="8">
        <v>0.80956799999999995</v>
      </c>
      <c r="I31" s="8">
        <v>0.82073200000000002</v>
      </c>
      <c r="J31" s="8">
        <v>0.81511199999999995</v>
      </c>
      <c r="L31">
        <f t="shared" si="6"/>
        <v>1237</v>
      </c>
      <c r="M31">
        <f t="shared" si="7"/>
        <v>1252</v>
      </c>
      <c r="N31">
        <f t="shared" si="8"/>
        <v>0.79547291835084888</v>
      </c>
      <c r="O31">
        <f t="shared" si="9"/>
        <v>0.78594249201277955</v>
      </c>
      <c r="P31">
        <f t="shared" si="10"/>
        <v>0.79067898754519883</v>
      </c>
      <c r="Q31">
        <f t="shared" si="11"/>
        <v>0.65382059800664449</v>
      </c>
    </row>
    <row r="32" spans="1:21" x14ac:dyDescent="0.3">
      <c r="A32" s="7" t="s">
        <v>22</v>
      </c>
      <c r="B32" s="7" t="s">
        <v>23</v>
      </c>
      <c r="C32" s="8">
        <v>1920</v>
      </c>
      <c r="D32" s="8">
        <v>2275</v>
      </c>
      <c r="E32" s="8">
        <v>1549</v>
      </c>
      <c r="F32" s="8">
        <v>371</v>
      </c>
      <c r="G32" s="8">
        <v>726</v>
      </c>
      <c r="H32" s="8">
        <v>0.82991999999999999</v>
      </c>
      <c r="I32" s="8">
        <v>0.73170000000000002</v>
      </c>
      <c r="J32" s="8">
        <v>0.777721</v>
      </c>
      <c r="L32">
        <f t="shared" si="6"/>
        <v>1920</v>
      </c>
      <c r="M32">
        <f t="shared" si="7"/>
        <v>2275</v>
      </c>
      <c r="N32">
        <f t="shared" si="8"/>
        <v>0.80677083333333333</v>
      </c>
      <c r="O32">
        <f t="shared" si="9"/>
        <v>0.68087912087912084</v>
      </c>
      <c r="P32">
        <f t="shared" si="10"/>
        <v>0.73849821215733014</v>
      </c>
      <c r="Q32">
        <f t="shared" si="11"/>
        <v>0.58541194255479967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F780-D84C-4D95-BCA8-FDFB1033C080}">
  <dimension ref="A2:U31"/>
  <sheetViews>
    <sheetView topLeftCell="A9" workbookViewId="0">
      <selection activeCell="S24" sqref="S24"/>
    </sheetView>
  </sheetViews>
  <sheetFormatPr defaultRowHeight="14.4" x14ac:dyDescent="0.3"/>
  <sheetData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2</v>
      </c>
      <c r="M2" t="s">
        <v>3</v>
      </c>
      <c r="N2" t="s">
        <v>83</v>
      </c>
      <c r="O2" t="s">
        <v>84</v>
      </c>
      <c r="P2" t="s">
        <v>9</v>
      </c>
      <c r="Q2" t="s">
        <v>82</v>
      </c>
    </row>
    <row r="3" spans="1:21" x14ac:dyDescent="0.3">
      <c r="A3" t="s">
        <v>81</v>
      </c>
      <c r="B3" t="s">
        <v>11</v>
      </c>
      <c r="C3">
        <v>673</v>
      </c>
      <c r="D3">
        <v>623</v>
      </c>
      <c r="E3">
        <v>600</v>
      </c>
      <c r="F3">
        <v>73</v>
      </c>
      <c r="G3">
        <v>23</v>
      </c>
      <c r="H3">
        <f>600/673</f>
        <v>0.89153046062407137</v>
      </c>
      <c r="I3">
        <f>600/623</f>
        <v>0.96308186195826651</v>
      </c>
      <c r="J3">
        <v>0.93210000000000004</v>
      </c>
      <c r="K3" s="2"/>
      <c r="L3">
        <f>E3+F3</f>
        <v>673</v>
      </c>
      <c r="M3">
        <f>E3+G3</f>
        <v>623</v>
      </c>
      <c r="N3">
        <f>E3/(F3+E3)</f>
        <v>0.89153046062407137</v>
      </c>
      <c r="O3">
        <f>E3/(E3+G3)</f>
        <v>0.96308186195826651</v>
      </c>
      <c r="P3">
        <f>2*E3/(2*E3+F3+G3)</f>
        <v>0.92592592592592593</v>
      </c>
      <c r="Q3">
        <f>E3/(E3+F3+G3)</f>
        <v>0.86206896551724133</v>
      </c>
    </row>
    <row r="4" spans="1:21" x14ac:dyDescent="0.3">
      <c r="A4" t="s">
        <v>12</v>
      </c>
      <c r="B4" t="s">
        <v>13</v>
      </c>
      <c r="C4">
        <v>785</v>
      </c>
      <c r="D4">
        <v>709</v>
      </c>
      <c r="E4">
        <v>655</v>
      </c>
      <c r="F4">
        <v>130</v>
      </c>
      <c r="G4">
        <v>54</v>
      </c>
      <c r="H4">
        <v>0.83440000000000003</v>
      </c>
      <c r="I4">
        <f>655/(655+54)</f>
        <v>0.92383638928067702</v>
      </c>
      <c r="J4">
        <v>0.87680000000000002</v>
      </c>
      <c r="K4" s="2"/>
      <c r="L4">
        <f t="shared" ref="L4:L22" si="0">E4+F4</f>
        <v>785</v>
      </c>
      <c r="M4">
        <f t="shared" ref="M4:M22" si="1">E4+G4</f>
        <v>709</v>
      </c>
      <c r="N4">
        <f t="shared" ref="N4:N22" si="2">E4/(F4+E4)</f>
        <v>0.83439490445859876</v>
      </c>
      <c r="O4">
        <f t="shared" ref="O4:O22" si="3">E4/(E4+G4)</f>
        <v>0.92383638928067702</v>
      </c>
      <c r="P4">
        <f t="shared" ref="P4:P22" si="4">2*E4/(2*E4+F4+G4)</f>
        <v>0.87684069611780457</v>
      </c>
      <c r="Q4">
        <f t="shared" ref="Q4:Q22" si="5">E4/(E4+F4+G4)</f>
        <v>0.78069129916567337</v>
      </c>
    </row>
    <row r="5" spans="1:21" x14ac:dyDescent="0.3">
      <c r="A5" t="s">
        <v>14</v>
      </c>
      <c r="B5" t="s">
        <v>15</v>
      </c>
      <c r="C5">
        <v>2169</v>
      </c>
      <c r="D5">
        <v>2226</v>
      </c>
      <c r="E5">
        <v>1971</v>
      </c>
      <c r="F5">
        <v>198</v>
      </c>
      <c r="G5">
        <v>255</v>
      </c>
      <c r="H5">
        <v>0.90869999999999995</v>
      </c>
      <c r="I5">
        <v>0.88539999999999996</v>
      </c>
      <c r="J5">
        <v>0.89690000000000003</v>
      </c>
      <c r="K5" s="2"/>
      <c r="L5">
        <f t="shared" si="0"/>
        <v>2169</v>
      </c>
      <c r="M5">
        <f t="shared" si="1"/>
        <v>2226</v>
      </c>
      <c r="N5">
        <f t="shared" si="2"/>
        <v>0.90871369294605808</v>
      </c>
      <c r="O5">
        <f t="shared" si="3"/>
        <v>0.88544474393530992</v>
      </c>
      <c r="P5">
        <f t="shared" si="4"/>
        <v>0.89692832764505115</v>
      </c>
      <c r="Q5">
        <f t="shared" si="5"/>
        <v>0.81311881188118806</v>
      </c>
    </row>
    <row r="6" spans="1:21" x14ac:dyDescent="0.3">
      <c r="A6" t="s">
        <v>16</v>
      </c>
      <c r="B6" t="s">
        <v>17</v>
      </c>
      <c r="C6">
        <v>708</v>
      </c>
      <c r="D6">
        <v>707</v>
      </c>
      <c r="E6">
        <v>643</v>
      </c>
      <c r="F6">
        <v>65</v>
      </c>
      <c r="G6">
        <v>64</v>
      </c>
      <c r="H6">
        <v>0.90820000000000001</v>
      </c>
      <c r="I6">
        <v>0.90949999999999998</v>
      </c>
      <c r="J6">
        <v>0.90880000000000005</v>
      </c>
      <c r="K6" s="2"/>
      <c r="L6">
        <f t="shared" si="0"/>
        <v>708</v>
      </c>
      <c r="M6">
        <f t="shared" si="1"/>
        <v>707</v>
      </c>
      <c r="N6">
        <f t="shared" si="2"/>
        <v>0.90819209039548021</v>
      </c>
      <c r="O6">
        <f t="shared" si="3"/>
        <v>0.90947666195190946</v>
      </c>
      <c r="P6">
        <f t="shared" si="4"/>
        <v>0.90883392226148407</v>
      </c>
      <c r="Q6">
        <f t="shared" si="5"/>
        <v>0.83290155440414504</v>
      </c>
    </row>
    <row r="7" spans="1:21" x14ac:dyDescent="0.3">
      <c r="A7" t="s">
        <v>18</v>
      </c>
      <c r="B7" t="s">
        <v>19</v>
      </c>
      <c r="C7">
        <v>2317</v>
      </c>
      <c r="D7">
        <v>2486</v>
      </c>
      <c r="E7">
        <v>1931</v>
      </c>
      <c r="F7">
        <v>386</v>
      </c>
      <c r="G7">
        <v>555</v>
      </c>
      <c r="H7">
        <v>0.83340000000000003</v>
      </c>
      <c r="I7">
        <v>0.77669999999999995</v>
      </c>
      <c r="J7">
        <v>0.80410000000000004</v>
      </c>
      <c r="K7" s="2"/>
      <c r="L7">
        <f t="shared" si="0"/>
        <v>2317</v>
      </c>
      <c r="M7">
        <f t="shared" si="1"/>
        <v>2486</v>
      </c>
      <c r="N7">
        <f t="shared" si="2"/>
        <v>0.83340526542943461</v>
      </c>
      <c r="O7">
        <f t="shared" si="3"/>
        <v>0.77674979887369267</v>
      </c>
      <c r="P7">
        <f t="shared" si="4"/>
        <v>0.80408078284405582</v>
      </c>
      <c r="Q7">
        <f t="shared" si="5"/>
        <v>0.6723537604456824</v>
      </c>
    </row>
    <row r="8" spans="1:21" x14ac:dyDescent="0.3">
      <c r="A8" t="s">
        <v>20</v>
      </c>
      <c r="B8" t="s">
        <v>21</v>
      </c>
      <c r="C8">
        <v>2169</v>
      </c>
      <c r="D8">
        <v>2580</v>
      </c>
      <c r="E8">
        <v>1971</v>
      </c>
      <c r="F8">
        <v>198</v>
      </c>
      <c r="G8">
        <v>609</v>
      </c>
      <c r="H8">
        <v>0.90869999999999995</v>
      </c>
      <c r="I8">
        <v>0.76400000000000001</v>
      </c>
      <c r="J8">
        <v>0.83009999999999995</v>
      </c>
      <c r="K8" s="2"/>
      <c r="L8">
        <f t="shared" si="0"/>
        <v>2169</v>
      </c>
      <c r="M8">
        <f t="shared" si="1"/>
        <v>2580</v>
      </c>
      <c r="N8">
        <f t="shared" si="2"/>
        <v>0.90871369294605808</v>
      </c>
      <c r="O8">
        <f t="shared" si="3"/>
        <v>0.76395348837209298</v>
      </c>
      <c r="P8">
        <f t="shared" si="4"/>
        <v>0.83006948831332916</v>
      </c>
      <c r="Q8">
        <f t="shared" si="5"/>
        <v>0.70950323974082075</v>
      </c>
    </row>
    <row r="9" spans="1:21" x14ac:dyDescent="0.3">
      <c r="A9" t="s">
        <v>22</v>
      </c>
      <c r="B9" t="s">
        <v>23</v>
      </c>
      <c r="C9">
        <v>2317</v>
      </c>
      <c r="D9">
        <v>2826</v>
      </c>
      <c r="E9">
        <v>2106</v>
      </c>
      <c r="F9">
        <v>211</v>
      </c>
      <c r="G9">
        <v>720</v>
      </c>
      <c r="H9">
        <v>0.90890000000000004</v>
      </c>
      <c r="I9">
        <v>0.74519999999999997</v>
      </c>
      <c r="J9">
        <v>0.81899999999999995</v>
      </c>
      <c r="K9" s="2"/>
      <c r="L9">
        <f t="shared" si="0"/>
        <v>2317</v>
      </c>
      <c r="M9">
        <f t="shared" si="1"/>
        <v>2826</v>
      </c>
      <c r="N9">
        <f t="shared" si="2"/>
        <v>0.90893396633577905</v>
      </c>
      <c r="O9">
        <f t="shared" si="3"/>
        <v>0.74522292993630568</v>
      </c>
      <c r="P9">
        <f t="shared" si="4"/>
        <v>0.81897725063192695</v>
      </c>
      <c r="Q9">
        <f t="shared" si="5"/>
        <v>0.69344748106684229</v>
      </c>
    </row>
    <row r="10" spans="1:21" x14ac:dyDescent="0.3">
      <c r="A10" t="s">
        <v>24</v>
      </c>
      <c r="B10" t="s">
        <v>25</v>
      </c>
      <c r="C10">
        <v>791</v>
      </c>
      <c r="D10">
        <v>1162</v>
      </c>
      <c r="E10">
        <v>660</v>
      </c>
      <c r="F10">
        <v>131</v>
      </c>
      <c r="G10">
        <v>502</v>
      </c>
      <c r="H10">
        <v>0.83440000000000003</v>
      </c>
      <c r="I10">
        <v>0.56799999999999995</v>
      </c>
      <c r="J10">
        <v>0.67589999999999995</v>
      </c>
      <c r="K10" s="2"/>
      <c r="L10">
        <f t="shared" si="0"/>
        <v>791</v>
      </c>
      <c r="M10">
        <f t="shared" si="1"/>
        <v>1162</v>
      </c>
      <c r="N10">
        <f t="shared" si="2"/>
        <v>0.83438685208596708</v>
      </c>
      <c r="O10">
        <f t="shared" si="3"/>
        <v>0.56798623063683307</v>
      </c>
      <c r="P10">
        <f t="shared" si="4"/>
        <v>0.67588325652841785</v>
      </c>
      <c r="Q10">
        <f t="shared" si="5"/>
        <v>0.51044083526682138</v>
      </c>
    </row>
    <row r="11" spans="1:21" x14ac:dyDescent="0.3">
      <c r="A11" t="s">
        <v>26</v>
      </c>
      <c r="B11" t="s">
        <v>27</v>
      </c>
      <c r="C11">
        <v>2520</v>
      </c>
      <c r="D11">
        <v>2949</v>
      </c>
      <c r="E11">
        <v>2100</v>
      </c>
      <c r="F11">
        <v>420</v>
      </c>
      <c r="G11">
        <v>849</v>
      </c>
      <c r="H11">
        <v>0.83330000000000004</v>
      </c>
      <c r="I11">
        <v>0.71209999999999996</v>
      </c>
      <c r="J11">
        <v>0.76800000000000002</v>
      </c>
      <c r="K11" s="2"/>
      <c r="L11">
        <f t="shared" si="0"/>
        <v>2520</v>
      </c>
      <c r="M11">
        <f t="shared" si="1"/>
        <v>2949</v>
      </c>
      <c r="N11">
        <f t="shared" si="2"/>
        <v>0.83333333333333337</v>
      </c>
      <c r="O11">
        <f t="shared" si="3"/>
        <v>0.71210579857578837</v>
      </c>
      <c r="P11">
        <f t="shared" si="4"/>
        <v>0.76796489303346138</v>
      </c>
      <c r="Q11">
        <f t="shared" si="5"/>
        <v>0.62333036509349959</v>
      </c>
    </row>
    <row r="12" spans="1:21" x14ac:dyDescent="0.3">
      <c r="A12" t="s">
        <v>28</v>
      </c>
      <c r="B12" t="s">
        <v>29</v>
      </c>
      <c r="C12">
        <v>791</v>
      </c>
      <c r="D12">
        <v>993</v>
      </c>
      <c r="E12">
        <v>660</v>
      </c>
      <c r="F12">
        <v>131</v>
      </c>
      <c r="G12">
        <v>333</v>
      </c>
      <c r="H12">
        <v>0.83440000000000003</v>
      </c>
      <c r="I12">
        <v>0.66469999999999996</v>
      </c>
      <c r="J12">
        <v>0.7399</v>
      </c>
      <c r="K12" s="2"/>
      <c r="L12">
        <f t="shared" si="0"/>
        <v>791</v>
      </c>
      <c r="M12">
        <f t="shared" si="1"/>
        <v>993</v>
      </c>
      <c r="N12">
        <f t="shared" si="2"/>
        <v>0.83438685208596708</v>
      </c>
      <c r="O12">
        <f t="shared" si="3"/>
        <v>0.66465256797583083</v>
      </c>
      <c r="P12">
        <f t="shared" si="4"/>
        <v>0.73991031390134532</v>
      </c>
      <c r="Q12">
        <f t="shared" si="5"/>
        <v>0.58718861209964412</v>
      </c>
    </row>
    <row r="13" spans="1:21" x14ac:dyDescent="0.3">
      <c r="A13" t="s">
        <v>30</v>
      </c>
      <c r="B13" t="s">
        <v>31</v>
      </c>
      <c r="C13">
        <v>2522</v>
      </c>
      <c r="D13">
        <v>3051</v>
      </c>
      <c r="E13">
        <v>2102</v>
      </c>
      <c r="F13">
        <v>420</v>
      </c>
      <c r="G13">
        <v>949</v>
      </c>
      <c r="H13">
        <v>0.83330000000000004</v>
      </c>
      <c r="I13">
        <v>0.6885</v>
      </c>
      <c r="J13">
        <v>0.754</v>
      </c>
      <c r="K13" s="2"/>
      <c r="L13">
        <f t="shared" si="0"/>
        <v>2522</v>
      </c>
      <c r="M13">
        <f t="shared" si="1"/>
        <v>3051</v>
      </c>
      <c r="N13">
        <f t="shared" si="2"/>
        <v>0.83346550356859639</v>
      </c>
      <c r="O13">
        <f t="shared" si="3"/>
        <v>0.68895444116683058</v>
      </c>
      <c r="P13">
        <f t="shared" si="4"/>
        <v>0.75435133680244038</v>
      </c>
      <c r="Q13">
        <f t="shared" si="5"/>
        <v>0.60558916738692015</v>
      </c>
    </row>
    <row r="14" spans="1:21" x14ac:dyDescent="0.3">
      <c r="A14" t="s">
        <v>79</v>
      </c>
    </row>
    <row r="15" spans="1:21" ht="28.8" x14ac:dyDescent="0.3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9</v>
      </c>
    </row>
    <row r="16" spans="1:21" x14ac:dyDescent="0.3">
      <c r="A16" s="7" t="s">
        <v>81</v>
      </c>
      <c r="B16" s="7" t="s">
        <v>11</v>
      </c>
      <c r="C16" s="7">
        <v>4921</v>
      </c>
      <c r="D16" s="7">
        <v>4682</v>
      </c>
      <c r="E16" s="7">
        <v>4517</v>
      </c>
      <c r="F16" s="7">
        <v>404</v>
      </c>
      <c r="G16" s="7">
        <v>165</v>
      </c>
      <c r="H16" s="7">
        <v>0.91800000000000004</v>
      </c>
      <c r="I16" s="7">
        <v>0.96479999999999999</v>
      </c>
      <c r="J16" s="7">
        <v>0.94069999999999998</v>
      </c>
      <c r="L16">
        <f t="shared" si="0"/>
        <v>4921</v>
      </c>
      <c r="M16">
        <f t="shared" si="1"/>
        <v>4682</v>
      </c>
      <c r="N16">
        <f t="shared" si="2"/>
        <v>0.91790286527128628</v>
      </c>
      <c r="O16">
        <f t="shared" si="3"/>
        <v>0.96475865014950879</v>
      </c>
      <c r="P16">
        <f t="shared" si="4"/>
        <v>0.9407476830157242</v>
      </c>
      <c r="Q16">
        <f t="shared" si="5"/>
        <v>0.88812426268187183</v>
      </c>
      <c r="R16">
        <v>0.92592592592592593</v>
      </c>
      <c r="S16">
        <v>0.86206896551724133</v>
      </c>
      <c r="T16">
        <v>0.78921568627450978</v>
      </c>
      <c r="U16">
        <v>0.65182186234817818</v>
      </c>
    </row>
    <row r="17" spans="1:21" x14ac:dyDescent="0.3">
      <c r="A17" s="7" t="s">
        <v>12</v>
      </c>
      <c r="B17" s="7" t="s">
        <v>13</v>
      </c>
      <c r="C17" s="7">
        <v>5832</v>
      </c>
      <c r="D17" s="7">
        <v>5461</v>
      </c>
      <c r="E17" s="7">
        <v>5128</v>
      </c>
      <c r="F17" s="7">
        <v>704</v>
      </c>
      <c r="G17" s="7">
        <v>333</v>
      </c>
      <c r="H17" s="7">
        <v>0.87929999999999997</v>
      </c>
      <c r="I17" s="7">
        <v>0.93899999999999995</v>
      </c>
      <c r="J17" s="7">
        <v>0.90820000000000001</v>
      </c>
      <c r="L17">
        <f t="shared" si="0"/>
        <v>5832</v>
      </c>
      <c r="M17">
        <f t="shared" si="1"/>
        <v>5461</v>
      </c>
      <c r="N17">
        <f t="shared" si="2"/>
        <v>0.87928669410150895</v>
      </c>
      <c r="O17">
        <f t="shared" si="3"/>
        <v>0.93902215711408166</v>
      </c>
      <c r="P17">
        <f t="shared" si="4"/>
        <v>0.90817320464004248</v>
      </c>
      <c r="Q17">
        <f t="shared" si="5"/>
        <v>0.8317923763179238</v>
      </c>
      <c r="R17">
        <v>0.87684069611780457</v>
      </c>
      <c r="S17">
        <v>0.78069129916567337</v>
      </c>
      <c r="T17">
        <v>0.75423728813559321</v>
      </c>
      <c r="U17">
        <v>0.60544217687074831</v>
      </c>
    </row>
    <row r="18" spans="1:21" x14ac:dyDescent="0.3">
      <c r="A18" s="7" t="s">
        <v>14</v>
      </c>
      <c r="B18" s="7" t="s">
        <v>15</v>
      </c>
      <c r="C18" s="7">
        <v>15596</v>
      </c>
      <c r="D18" s="7">
        <v>14987</v>
      </c>
      <c r="E18" s="7">
        <v>13692</v>
      </c>
      <c r="F18" s="7">
        <v>1904</v>
      </c>
      <c r="G18" s="7">
        <v>1295</v>
      </c>
      <c r="H18" s="7">
        <v>0.87790000000000001</v>
      </c>
      <c r="I18" s="7">
        <v>0.91359999999999997</v>
      </c>
      <c r="J18" s="7">
        <v>0.89539999999999997</v>
      </c>
      <c r="L18">
        <f t="shared" si="0"/>
        <v>15596</v>
      </c>
      <c r="M18">
        <f t="shared" si="1"/>
        <v>14987</v>
      </c>
      <c r="N18">
        <f t="shared" si="2"/>
        <v>0.87791741472172347</v>
      </c>
      <c r="O18">
        <f t="shared" si="3"/>
        <v>0.91359177954227</v>
      </c>
      <c r="P18">
        <f t="shared" si="4"/>
        <v>0.89539940489814607</v>
      </c>
      <c r="Q18">
        <f t="shared" si="5"/>
        <v>0.81060920016576876</v>
      </c>
      <c r="R18">
        <v>0.89692832764505115</v>
      </c>
      <c r="S18">
        <v>0.81311881188118806</v>
      </c>
      <c r="T18">
        <v>0.80936995153473346</v>
      </c>
      <c r="U18">
        <v>0.67978290366350069</v>
      </c>
    </row>
    <row r="19" spans="1:21" x14ac:dyDescent="0.3">
      <c r="A19" s="7" t="s">
        <v>16</v>
      </c>
      <c r="B19" s="7" t="s">
        <v>17</v>
      </c>
      <c r="C19" s="7">
        <v>5204</v>
      </c>
      <c r="D19" s="7">
        <v>4956</v>
      </c>
      <c r="E19" s="7">
        <v>4709</v>
      </c>
      <c r="F19" s="7">
        <v>495</v>
      </c>
      <c r="G19" s="7">
        <v>247</v>
      </c>
      <c r="H19" s="7">
        <v>0.90500000000000003</v>
      </c>
      <c r="I19" s="7">
        <v>0.95009999999999994</v>
      </c>
      <c r="J19" s="7">
        <v>0.92700000000000005</v>
      </c>
      <c r="L19">
        <f t="shared" si="0"/>
        <v>5204</v>
      </c>
      <c r="M19">
        <f t="shared" si="1"/>
        <v>4956</v>
      </c>
      <c r="N19">
        <f t="shared" si="2"/>
        <v>0.90488086087624908</v>
      </c>
      <c r="O19">
        <f t="shared" si="3"/>
        <v>0.95016142050040353</v>
      </c>
      <c r="P19">
        <f t="shared" si="4"/>
        <v>0.92696850393700791</v>
      </c>
      <c r="Q19">
        <f t="shared" si="5"/>
        <v>0.86387818748853418</v>
      </c>
      <c r="R19">
        <v>0.90883392226148407</v>
      </c>
      <c r="S19">
        <v>0.83290155440414504</v>
      </c>
      <c r="T19">
        <v>0.77241379310344827</v>
      </c>
      <c r="U19">
        <v>0.6292134831460674</v>
      </c>
    </row>
    <row r="20" spans="1:21" x14ac:dyDescent="0.3">
      <c r="A20" s="7" t="s">
        <v>18</v>
      </c>
      <c r="B20" s="7" t="s">
        <v>19</v>
      </c>
      <c r="C20" s="7">
        <v>16921</v>
      </c>
      <c r="D20" s="7">
        <v>16034</v>
      </c>
      <c r="E20" s="7">
        <v>13896</v>
      </c>
      <c r="F20" s="7">
        <v>3025</v>
      </c>
      <c r="G20" s="7">
        <v>2138</v>
      </c>
      <c r="H20" s="7">
        <v>0.82120000000000004</v>
      </c>
      <c r="I20" s="7">
        <v>0.86670000000000003</v>
      </c>
      <c r="J20" s="7">
        <v>0.84340000000000004</v>
      </c>
      <c r="L20">
        <f t="shared" si="0"/>
        <v>16921</v>
      </c>
      <c r="M20">
        <f t="shared" si="1"/>
        <v>16034</v>
      </c>
      <c r="N20">
        <f t="shared" si="2"/>
        <v>0.82122805980734004</v>
      </c>
      <c r="O20">
        <f t="shared" si="3"/>
        <v>0.86665835100411626</v>
      </c>
      <c r="P20">
        <f t="shared" si="4"/>
        <v>0.84333181611288122</v>
      </c>
      <c r="Q20">
        <f t="shared" si="5"/>
        <v>0.7291043601448135</v>
      </c>
      <c r="R20">
        <v>0.80408078284405582</v>
      </c>
      <c r="S20">
        <v>0.6723537604456824</v>
      </c>
      <c r="T20">
        <v>0.73753665689149561</v>
      </c>
      <c r="U20">
        <v>0.58420441347270613</v>
      </c>
    </row>
    <row r="21" spans="1:21" x14ac:dyDescent="0.3">
      <c r="A21" s="7" t="s">
        <v>20</v>
      </c>
      <c r="B21" s="7" t="s">
        <v>21</v>
      </c>
      <c r="C21" s="7">
        <v>16102</v>
      </c>
      <c r="D21" s="7">
        <v>15071</v>
      </c>
      <c r="E21" s="7">
        <v>13485</v>
      </c>
      <c r="F21" s="7">
        <v>2617</v>
      </c>
      <c r="G21" s="7">
        <v>1586</v>
      </c>
      <c r="H21" s="7">
        <v>0.83740000000000003</v>
      </c>
      <c r="I21" s="7">
        <v>0.89480000000000004</v>
      </c>
      <c r="J21" s="7">
        <v>0.86509999999999998</v>
      </c>
      <c r="L21">
        <f t="shared" si="0"/>
        <v>16102</v>
      </c>
      <c r="M21">
        <f t="shared" si="1"/>
        <v>15071</v>
      </c>
      <c r="N21">
        <f t="shared" si="2"/>
        <v>0.83747360576325924</v>
      </c>
      <c r="O21">
        <f t="shared" si="3"/>
        <v>0.89476478004113857</v>
      </c>
      <c r="P21">
        <f t="shared" si="4"/>
        <v>0.86517178327398714</v>
      </c>
      <c r="Q21">
        <f t="shared" si="5"/>
        <v>0.76238127544097689</v>
      </c>
      <c r="R21">
        <v>0.83006948831332916</v>
      </c>
      <c r="S21">
        <v>0.70950323974082075</v>
      </c>
      <c r="T21">
        <v>0.72160000000000002</v>
      </c>
      <c r="U21">
        <v>0.56445556946182729</v>
      </c>
    </row>
    <row r="22" spans="1:21" x14ac:dyDescent="0.3">
      <c r="A22" s="7" t="s">
        <v>22</v>
      </c>
      <c r="B22" s="7" t="s">
        <v>23</v>
      </c>
      <c r="C22" s="7">
        <v>17395</v>
      </c>
      <c r="D22" s="7">
        <v>16287</v>
      </c>
      <c r="E22" s="7">
        <v>14591</v>
      </c>
      <c r="F22" s="7">
        <v>2804</v>
      </c>
      <c r="G22" s="7">
        <v>1696</v>
      </c>
      <c r="H22" s="7">
        <v>0.83899999999999997</v>
      </c>
      <c r="I22" s="7">
        <v>0.89600000000000002</v>
      </c>
      <c r="J22" s="7">
        <v>0.86660000000000004</v>
      </c>
      <c r="L22">
        <f t="shared" si="0"/>
        <v>17395</v>
      </c>
      <c r="M22">
        <f t="shared" si="1"/>
        <v>16287</v>
      </c>
      <c r="N22">
        <f t="shared" si="2"/>
        <v>0.83880425409600456</v>
      </c>
      <c r="O22">
        <f t="shared" si="3"/>
        <v>0.89586787008043223</v>
      </c>
      <c r="P22">
        <f t="shared" si="4"/>
        <v>0.8663974823347782</v>
      </c>
      <c r="Q22">
        <f t="shared" si="5"/>
        <v>0.76428683672934894</v>
      </c>
      <c r="R22">
        <v>0.81897725063192695</v>
      </c>
      <c r="S22">
        <v>0.69344748106684229</v>
      </c>
      <c r="T22">
        <v>0.70364963503649636</v>
      </c>
      <c r="U22">
        <v>0.5427927927927928</v>
      </c>
    </row>
    <row r="23" spans="1:21" ht="28.8" x14ac:dyDescent="0.3">
      <c r="A23" s="7" t="s">
        <v>80</v>
      </c>
    </row>
    <row r="24" spans="1:21" ht="28.8" x14ac:dyDescent="0.3">
      <c r="A24" s="6" t="s">
        <v>0</v>
      </c>
      <c r="B24" s="6" t="s">
        <v>1</v>
      </c>
      <c r="C24" s="9" t="s">
        <v>2</v>
      </c>
      <c r="D24" s="9" t="s">
        <v>3</v>
      </c>
      <c r="E24" s="9" t="s">
        <v>4</v>
      </c>
      <c r="F24" s="9" t="s">
        <v>5</v>
      </c>
      <c r="G24" s="9" t="s">
        <v>6</v>
      </c>
      <c r="H24" s="9" t="s">
        <v>7</v>
      </c>
      <c r="I24" s="9" t="s">
        <v>8</v>
      </c>
      <c r="J24" s="9" t="s">
        <v>9</v>
      </c>
    </row>
    <row r="25" spans="1:21" x14ac:dyDescent="0.3">
      <c r="A25" s="7" t="s">
        <v>81</v>
      </c>
      <c r="B25" s="7" t="s">
        <v>11</v>
      </c>
      <c r="C25" s="8">
        <v>187</v>
      </c>
      <c r="D25" s="8">
        <v>221</v>
      </c>
      <c r="E25" s="8">
        <v>161</v>
      </c>
      <c r="F25" s="8">
        <v>26</v>
      </c>
      <c r="G25" s="8">
        <v>60</v>
      </c>
      <c r="H25" s="8">
        <v>0.8609</v>
      </c>
      <c r="I25" s="8">
        <v>0.72850000000000004</v>
      </c>
      <c r="J25" s="8">
        <v>0.78920000000000001</v>
      </c>
      <c r="L25">
        <f>E25+F25</f>
        <v>187</v>
      </c>
      <c r="M25">
        <f>E25+G25</f>
        <v>221</v>
      </c>
      <c r="N25">
        <f>E25/(F25+E25)</f>
        <v>0.86096256684491979</v>
      </c>
      <c r="O25">
        <f>E25/(E25+G25)</f>
        <v>0.72850678733031671</v>
      </c>
      <c r="P25">
        <f>2*E25/(2*E25+F25+G25)</f>
        <v>0.78921568627450978</v>
      </c>
      <c r="Q25">
        <f>E25/(E25+F25+G25)</f>
        <v>0.65182186234817818</v>
      </c>
    </row>
    <row r="26" spans="1:21" x14ac:dyDescent="0.3">
      <c r="A26" s="7" t="s">
        <v>12</v>
      </c>
      <c r="B26" s="7" t="s">
        <v>13</v>
      </c>
      <c r="C26" s="8">
        <v>214</v>
      </c>
      <c r="D26" s="8">
        <v>258</v>
      </c>
      <c r="E26" s="8">
        <v>178</v>
      </c>
      <c r="F26" s="8">
        <v>36</v>
      </c>
      <c r="G26" s="8">
        <v>80</v>
      </c>
      <c r="H26" s="8">
        <v>0.83179999999999998</v>
      </c>
      <c r="I26" s="8">
        <v>0.68989999999999996</v>
      </c>
      <c r="J26" s="8">
        <v>0.75429999999999997</v>
      </c>
      <c r="L26">
        <f>E26+F26</f>
        <v>214</v>
      </c>
      <c r="M26">
        <f>E26+G26</f>
        <v>258</v>
      </c>
      <c r="N26">
        <f>E26/(F26+E26)</f>
        <v>0.83177570093457942</v>
      </c>
      <c r="O26">
        <f>E26/(E26+G26)</f>
        <v>0.68992248062015504</v>
      </c>
      <c r="P26">
        <f>2*E26/(2*E26+F26+G26)</f>
        <v>0.75423728813559321</v>
      </c>
      <c r="Q26">
        <f>E26/(E26+F26+G26)</f>
        <v>0.60544217687074831</v>
      </c>
    </row>
    <row r="27" spans="1:21" x14ac:dyDescent="0.3">
      <c r="A27" s="7" t="s">
        <v>14</v>
      </c>
      <c r="B27" s="7" t="s">
        <v>15</v>
      </c>
      <c r="C27" s="8">
        <v>573</v>
      </c>
      <c r="D27" s="8">
        <v>665</v>
      </c>
      <c r="E27" s="8">
        <v>501</v>
      </c>
      <c r="F27" s="8">
        <v>72</v>
      </c>
      <c r="G27" s="8">
        <v>164</v>
      </c>
      <c r="H27" s="8">
        <v>0.87370000000000003</v>
      </c>
      <c r="I27" s="8">
        <v>0.75339999999999996</v>
      </c>
      <c r="J27" s="8">
        <v>0.80930000000000002</v>
      </c>
      <c r="L27">
        <f>E27+F27</f>
        <v>573</v>
      </c>
      <c r="M27">
        <f>E27+G27</f>
        <v>665</v>
      </c>
      <c r="N27">
        <f>E27/(F27+E27)</f>
        <v>0.87434554973821987</v>
      </c>
      <c r="O27">
        <f>E27/(E27+G27)</f>
        <v>0.75338345864661649</v>
      </c>
      <c r="P27">
        <f>2*E27/(2*E27+F27+G27)</f>
        <v>0.80936995153473346</v>
      </c>
      <c r="Q27">
        <f>E27/(E27+F27+G27)</f>
        <v>0.67978290366350069</v>
      </c>
    </row>
    <row r="28" spans="1:21" x14ac:dyDescent="0.3">
      <c r="A28" s="7" t="s">
        <v>16</v>
      </c>
      <c r="B28" s="7" t="s">
        <v>17</v>
      </c>
      <c r="C28" s="8">
        <v>196</v>
      </c>
      <c r="D28" s="8">
        <v>239</v>
      </c>
      <c r="E28" s="8">
        <v>168</v>
      </c>
      <c r="F28" s="8">
        <v>28</v>
      </c>
      <c r="G28" s="8">
        <v>71</v>
      </c>
      <c r="H28" s="8">
        <v>0.85709999999999997</v>
      </c>
      <c r="I28" s="8">
        <v>0.70379999999999998</v>
      </c>
      <c r="J28" s="8">
        <v>0.77300000000000002</v>
      </c>
      <c r="L28">
        <f>E28+F28</f>
        <v>196</v>
      </c>
      <c r="M28">
        <f>E28+G28</f>
        <v>239</v>
      </c>
      <c r="N28">
        <f>E28/(F28+E28)</f>
        <v>0.8571428571428571</v>
      </c>
      <c r="O28">
        <f>E28/(E28+G28)</f>
        <v>0.70292887029288698</v>
      </c>
      <c r="P28">
        <f>2*E28/(2*E28+F28+G28)</f>
        <v>0.77241379310344827</v>
      </c>
      <c r="Q28">
        <f>E28/(E28+F28+G28)</f>
        <v>0.6292134831460674</v>
      </c>
    </row>
    <row r="29" spans="1:21" x14ac:dyDescent="0.3">
      <c r="A29" s="7" t="s">
        <v>18</v>
      </c>
      <c r="B29" s="7" t="s">
        <v>19</v>
      </c>
      <c r="C29" s="8">
        <v>604</v>
      </c>
      <c r="D29" s="8">
        <v>760</v>
      </c>
      <c r="E29" s="8">
        <v>503</v>
      </c>
      <c r="F29" s="8">
        <v>101</v>
      </c>
      <c r="G29" s="8">
        <v>257</v>
      </c>
      <c r="H29" s="8">
        <v>0.83309999999999995</v>
      </c>
      <c r="I29" s="8">
        <v>0.66180000000000005</v>
      </c>
      <c r="J29" s="8">
        <v>0.7379</v>
      </c>
      <c r="L29">
        <f>E29+F29</f>
        <v>604</v>
      </c>
      <c r="M29">
        <f>E29+G29</f>
        <v>760</v>
      </c>
      <c r="N29">
        <f>E29/(F29+E29)</f>
        <v>0.83278145695364236</v>
      </c>
      <c r="O29">
        <f>E29/(E29+G29)</f>
        <v>0.6618421052631579</v>
      </c>
      <c r="P29">
        <f>2*E29/(2*E29+F29+G29)</f>
        <v>0.73753665689149561</v>
      </c>
      <c r="Q29">
        <f>E29/(E29+F29+G29)</f>
        <v>0.58420441347270613</v>
      </c>
    </row>
    <row r="30" spans="1:21" x14ac:dyDescent="0.3">
      <c r="A30" s="7" t="s">
        <v>20</v>
      </c>
      <c r="B30" s="7" t="s">
        <v>21</v>
      </c>
      <c r="C30" s="8">
        <v>542</v>
      </c>
      <c r="D30" s="8">
        <v>708</v>
      </c>
      <c r="E30" s="8">
        <v>451</v>
      </c>
      <c r="F30" s="8">
        <v>91</v>
      </c>
      <c r="G30" s="8">
        <v>257</v>
      </c>
      <c r="H30" s="8">
        <v>0.83099999999999996</v>
      </c>
      <c r="I30" s="8">
        <v>0.63759999999999994</v>
      </c>
      <c r="J30" s="8">
        <v>0.72189999999999999</v>
      </c>
      <c r="L30">
        <f>E30+F30</f>
        <v>542</v>
      </c>
      <c r="M30">
        <f>E30+G30</f>
        <v>708</v>
      </c>
      <c r="N30">
        <f>E30/(F30+E30)</f>
        <v>0.83210332103321039</v>
      </c>
      <c r="O30">
        <f>E30/(E30+G30)</f>
        <v>0.63700564971751417</v>
      </c>
      <c r="P30">
        <f>2*E30/(2*E30+F30+G30)</f>
        <v>0.72160000000000002</v>
      </c>
      <c r="Q30">
        <f>E30/(E30+F30+G30)</f>
        <v>0.56445556946182729</v>
      </c>
    </row>
    <row r="31" spans="1:21" x14ac:dyDescent="0.3">
      <c r="A31" s="7" t="s">
        <v>22</v>
      </c>
      <c r="B31" s="7" t="s">
        <v>23</v>
      </c>
      <c r="C31" s="8">
        <v>596</v>
      </c>
      <c r="D31" s="8">
        <v>774</v>
      </c>
      <c r="E31" s="8">
        <v>482</v>
      </c>
      <c r="F31" s="8">
        <v>114</v>
      </c>
      <c r="G31" s="8">
        <v>292</v>
      </c>
      <c r="H31" s="8">
        <v>0.80810000000000004</v>
      </c>
      <c r="I31" s="8">
        <v>0.62270000000000003</v>
      </c>
      <c r="J31" s="8">
        <v>0.70369999999999999</v>
      </c>
      <c r="L31">
        <f>E31+F31</f>
        <v>596</v>
      </c>
      <c r="M31">
        <f>E31+G31</f>
        <v>774</v>
      </c>
      <c r="N31">
        <f>E31/(F31+E31)</f>
        <v>0.8087248322147651</v>
      </c>
      <c r="O31">
        <f>E31/(E31+G31)</f>
        <v>0.62273901808785526</v>
      </c>
      <c r="P31">
        <f>2*E31/(2*E31+F31+G31)</f>
        <v>0.70364963503649636</v>
      </c>
      <c r="Q31">
        <f>E31/(E31+F31+G31)</f>
        <v>0.5427927927927928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F8BF-6B0B-476D-A5F8-3840E7FF58AA}">
  <dimension ref="A2:U31"/>
  <sheetViews>
    <sheetView topLeftCell="A9" workbookViewId="0">
      <selection activeCell="P16" sqref="P16:U22"/>
    </sheetView>
  </sheetViews>
  <sheetFormatPr defaultRowHeight="14.4" x14ac:dyDescent="0.3"/>
  <sheetData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2</v>
      </c>
      <c r="M2" t="s">
        <v>3</v>
      </c>
      <c r="N2" t="s">
        <v>83</v>
      </c>
      <c r="O2" t="s">
        <v>84</v>
      </c>
      <c r="P2" t="s">
        <v>9</v>
      </c>
      <c r="Q2" t="s">
        <v>82</v>
      </c>
    </row>
    <row r="3" spans="1:21" x14ac:dyDescent="0.3">
      <c r="A3" t="s">
        <v>81</v>
      </c>
      <c r="B3" t="s">
        <v>11</v>
      </c>
      <c r="C3">
        <v>1156</v>
      </c>
      <c r="D3">
        <v>1156</v>
      </c>
      <c r="E3">
        <v>1099</v>
      </c>
      <c r="F3">
        <v>57</v>
      </c>
      <c r="G3">
        <v>57</v>
      </c>
      <c r="H3">
        <v>0.95099999999999996</v>
      </c>
      <c r="I3">
        <v>0.95099999999999996</v>
      </c>
      <c r="J3">
        <v>0.95099999999999996</v>
      </c>
      <c r="K3" s="2"/>
      <c r="L3">
        <f>E3+F3</f>
        <v>1156</v>
      </c>
      <c r="M3">
        <f>E3+G3</f>
        <v>1156</v>
      </c>
      <c r="N3">
        <f>E3/(F3+E3)</f>
        <v>0.95069204152249132</v>
      </c>
      <c r="O3">
        <f>E3/(E3+G3)</f>
        <v>0.95069204152249132</v>
      </c>
      <c r="P3">
        <f>2*E3/(2*E3+F3+G3)</f>
        <v>0.95069204152249132</v>
      </c>
      <c r="Q3">
        <f>E3/(E3+F3+G3)</f>
        <v>0.90601813685078314</v>
      </c>
    </row>
    <row r="4" spans="1:21" x14ac:dyDescent="0.3">
      <c r="A4" t="s">
        <v>12</v>
      </c>
      <c r="B4" t="s">
        <v>13</v>
      </c>
      <c r="C4">
        <v>2056</v>
      </c>
      <c r="D4">
        <v>2056</v>
      </c>
      <c r="E4">
        <v>1721</v>
      </c>
      <c r="F4">
        <v>335</v>
      </c>
      <c r="G4">
        <v>335</v>
      </c>
      <c r="H4">
        <v>0.83699999999999997</v>
      </c>
      <c r="I4">
        <v>0.83699999999999997</v>
      </c>
      <c r="J4">
        <v>0.83699999999999997</v>
      </c>
      <c r="K4" s="2"/>
      <c r="L4">
        <f t="shared" ref="L4:L22" si="0">E4+F4</f>
        <v>2056</v>
      </c>
      <c r="M4">
        <f t="shared" ref="M4:M22" si="1">E4+G4</f>
        <v>2056</v>
      </c>
      <c r="N4">
        <f t="shared" ref="N4:N22" si="2">E4/(F4+E4)</f>
        <v>0.83706225680933855</v>
      </c>
      <c r="O4">
        <f t="shared" ref="O4:O22" si="3">E4/(E4+G4)</f>
        <v>0.83706225680933855</v>
      </c>
      <c r="P4">
        <f t="shared" ref="P4:P22" si="4">2*E4/(2*E4+F4+G4)</f>
        <v>0.83706225680933855</v>
      </c>
      <c r="Q4">
        <f t="shared" ref="Q4:Q22" si="5">E4/(E4+F4+G4)</f>
        <v>0.71978251777498958</v>
      </c>
    </row>
    <row r="5" spans="1:21" x14ac:dyDescent="0.3">
      <c r="A5" t="s">
        <v>14</v>
      </c>
      <c r="B5" t="s">
        <v>15</v>
      </c>
      <c r="C5">
        <v>2517</v>
      </c>
      <c r="D5">
        <v>2517</v>
      </c>
      <c r="E5">
        <v>2086</v>
      </c>
      <c r="F5">
        <v>431</v>
      </c>
      <c r="G5">
        <v>431</v>
      </c>
      <c r="H5">
        <v>0.82899999999999996</v>
      </c>
      <c r="I5">
        <v>0.82899999999999996</v>
      </c>
      <c r="J5">
        <v>0.82899999999999996</v>
      </c>
      <c r="K5" s="2"/>
      <c r="L5">
        <f t="shared" si="0"/>
        <v>2517</v>
      </c>
      <c r="M5">
        <f t="shared" si="1"/>
        <v>2517</v>
      </c>
      <c r="N5">
        <f t="shared" si="2"/>
        <v>0.82876440206595148</v>
      </c>
      <c r="O5">
        <f t="shared" si="3"/>
        <v>0.82876440206595148</v>
      </c>
      <c r="P5">
        <f t="shared" si="4"/>
        <v>0.82876440206595148</v>
      </c>
      <c r="Q5">
        <f t="shared" si="5"/>
        <v>0.70759837177747631</v>
      </c>
    </row>
    <row r="6" spans="1:21" x14ac:dyDescent="0.3">
      <c r="A6" t="s">
        <v>16</v>
      </c>
      <c r="B6" t="s">
        <v>17</v>
      </c>
      <c r="C6">
        <v>1156</v>
      </c>
      <c r="D6">
        <v>1156</v>
      </c>
      <c r="E6">
        <v>973</v>
      </c>
      <c r="F6">
        <v>183</v>
      </c>
      <c r="G6">
        <v>183</v>
      </c>
      <c r="H6">
        <v>0.84099999999999997</v>
      </c>
      <c r="I6">
        <v>0.84099999999999997</v>
      </c>
      <c r="J6">
        <v>0.84099999999999997</v>
      </c>
      <c r="K6" s="2"/>
      <c r="L6">
        <f t="shared" si="0"/>
        <v>1156</v>
      </c>
      <c r="M6">
        <f t="shared" si="1"/>
        <v>1156</v>
      </c>
      <c r="N6">
        <f t="shared" si="2"/>
        <v>0.84169550173010377</v>
      </c>
      <c r="O6">
        <f t="shared" si="3"/>
        <v>0.84169550173010377</v>
      </c>
      <c r="P6">
        <f t="shared" si="4"/>
        <v>0.84169550173010377</v>
      </c>
      <c r="Q6">
        <f t="shared" si="5"/>
        <v>0.72666168782673635</v>
      </c>
    </row>
    <row r="7" spans="1:21" x14ac:dyDescent="0.3">
      <c r="A7" t="s">
        <v>18</v>
      </c>
      <c r="B7" t="s">
        <v>19</v>
      </c>
      <c r="C7">
        <v>3879</v>
      </c>
      <c r="D7">
        <v>3879</v>
      </c>
      <c r="E7">
        <v>3157</v>
      </c>
      <c r="F7">
        <v>722</v>
      </c>
      <c r="G7">
        <v>722</v>
      </c>
      <c r="H7">
        <v>0.81399999999999995</v>
      </c>
      <c r="I7">
        <v>0.81399999999999995</v>
      </c>
      <c r="J7">
        <v>0.81399999999999995</v>
      </c>
      <c r="K7" s="2"/>
      <c r="L7">
        <f t="shared" si="0"/>
        <v>3879</v>
      </c>
      <c r="M7">
        <f t="shared" si="1"/>
        <v>3879</v>
      </c>
      <c r="N7">
        <f t="shared" si="2"/>
        <v>0.81386955400876515</v>
      </c>
      <c r="O7">
        <f t="shared" si="3"/>
        <v>0.81386955400876515</v>
      </c>
      <c r="P7">
        <f t="shared" si="4"/>
        <v>0.81386955400876515</v>
      </c>
      <c r="Q7">
        <f t="shared" si="5"/>
        <v>0.68615518365572703</v>
      </c>
    </row>
    <row r="8" spans="1:21" x14ac:dyDescent="0.3">
      <c r="A8" t="s">
        <v>20</v>
      </c>
      <c r="B8" t="s">
        <v>21</v>
      </c>
      <c r="C8">
        <v>2517</v>
      </c>
      <c r="D8">
        <v>2517</v>
      </c>
      <c r="E8">
        <v>2103</v>
      </c>
      <c r="F8">
        <v>414</v>
      </c>
      <c r="G8">
        <v>414</v>
      </c>
      <c r="H8">
        <v>0.83599999999999997</v>
      </c>
      <c r="I8">
        <v>0.83599999999999997</v>
      </c>
      <c r="J8">
        <v>0.83599999999999997</v>
      </c>
      <c r="K8" s="2"/>
      <c r="L8">
        <f t="shared" si="0"/>
        <v>2517</v>
      </c>
      <c r="M8">
        <f t="shared" si="1"/>
        <v>2517</v>
      </c>
      <c r="N8">
        <f t="shared" si="2"/>
        <v>0.83551847437425508</v>
      </c>
      <c r="O8">
        <f t="shared" si="3"/>
        <v>0.83551847437425508</v>
      </c>
      <c r="P8">
        <f t="shared" si="4"/>
        <v>0.83551847437425508</v>
      </c>
      <c r="Q8">
        <f t="shared" si="5"/>
        <v>0.71750255885363357</v>
      </c>
    </row>
    <row r="9" spans="1:21" x14ac:dyDescent="0.3">
      <c r="A9" t="s">
        <v>22</v>
      </c>
      <c r="B9" t="s">
        <v>23</v>
      </c>
      <c r="C9">
        <v>3879</v>
      </c>
      <c r="D9">
        <v>3879</v>
      </c>
      <c r="E9">
        <v>3231</v>
      </c>
      <c r="F9">
        <v>648</v>
      </c>
      <c r="G9">
        <v>648</v>
      </c>
      <c r="H9">
        <v>0.83299999999999996</v>
      </c>
      <c r="I9">
        <v>0.83299999999999996</v>
      </c>
      <c r="J9">
        <v>0.83299999999999996</v>
      </c>
      <c r="K9" s="2"/>
      <c r="L9">
        <f t="shared" si="0"/>
        <v>3879</v>
      </c>
      <c r="M9">
        <f t="shared" si="1"/>
        <v>3879</v>
      </c>
      <c r="N9">
        <f t="shared" si="2"/>
        <v>0.83294663573085848</v>
      </c>
      <c r="O9">
        <f t="shared" si="3"/>
        <v>0.83294663573085848</v>
      </c>
      <c r="P9">
        <f t="shared" si="4"/>
        <v>0.83294663573085848</v>
      </c>
      <c r="Q9">
        <f t="shared" si="5"/>
        <v>0.71371769383697814</v>
      </c>
    </row>
    <row r="10" spans="1:21" x14ac:dyDescent="0.3">
      <c r="A10" t="s">
        <v>24</v>
      </c>
      <c r="B10" t="s">
        <v>25</v>
      </c>
      <c r="C10">
        <v>3208</v>
      </c>
      <c r="D10">
        <v>4278</v>
      </c>
      <c r="E10">
        <v>2246</v>
      </c>
      <c r="F10">
        <v>962</v>
      </c>
      <c r="G10">
        <v>2032</v>
      </c>
      <c r="H10">
        <v>0.7</v>
      </c>
      <c r="I10">
        <v>0.52500000000000002</v>
      </c>
      <c r="J10">
        <v>0.6</v>
      </c>
      <c r="K10" s="2"/>
      <c r="L10">
        <f t="shared" si="0"/>
        <v>3208</v>
      </c>
      <c r="M10">
        <f t="shared" si="1"/>
        <v>4278</v>
      </c>
      <c r="N10">
        <f t="shared" si="2"/>
        <v>0.70012468827930174</v>
      </c>
      <c r="O10">
        <f t="shared" si="3"/>
        <v>0.52501168770453488</v>
      </c>
      <c r="P10">
        <f t="shared" si="4"/>
        <v>0.60005343307507342</v>
      </c>
      <c r="Q10">
        <f t="shared" si="5"/>
        <v>0.42862595419847327</v>
      </c>
    </row>
    <row r="11" spans="1:21" x14ac:dyDescent="0.3">
      <c r="A11" t="s">
        <v>26</v>
      </c>
      <c r="B11" t="s">
        <v>27</v>
      </c>
      <c r="C11">
        <v>6563</v>
      </c>
      <c r="D11">
        <v>6563</v>
      </c>
      <c r="E11">
        <v>4660</v>
      </c>
      <c r="F11">
        <v>1903</v>
      </c>
      <c r="G11">
        <v>1903</v>
      </c>
      <c r="H11">
        <v>0.71</v>
      </c>
      <c r="I11">
        <v>0.71</v>
      </c>
      <c r="J11">
        <v>0.71</v>
      </c>
      <c r="K11" s="2"/>
      <c r="L11">
        <f t="shared" si="0"/>
        <v>6563</v>
      </c>
      <c r="M11">
        <f t="shared" si="1"/>
        <v>6563</v>
      </c>
      <c r="N11">
        <f t="shared" si="2"/>
        <v>0.71004113972268779</v>
      </c>
      <c r="O11">
        <f t="shared" si="3"/>
        <v>0.71004113972268779</v>
      </c>
      <c r="P11">
        <f t="shared" si="4"/>
        <v>0.71004113972268779</v>
      </c>
      <c r="Q11">
        <f t="shared" si="5"/>
        <v>0.55043704228679424</v>
      </c>
    </row>
    <row r="12" spans="1:21" x14ac:dyDescent="0.3">
      <c r="A12" t="s">
        <v>28</v>
      </c>
      <c r="B12" t="s">
        <v>29</v>
      </c>
      <c r="C12">
        <v>3208</v>
      </c>
      <c r="D12">
        <v>3208</v>
      </c>
      <c r="E12">
        <v>2271</v>
      </c>
      <c r="F12">
        <v>937</v>
      </c>
      <c r="G12">
        <v>937</v>
      </c>
      <c r="H12">
        <v>0.70799999999999996</v>
      </c>
      <c r="I12">
        <v>0.70799999999999996</v>
      </c>
      <c r="J12">
        <v>0.70799999999999996</v>
      </c>
      <c r="K12" s="2"/>
      <c r="L12">
        <f t="shared" si="0"/>
        <v>3208</v>
      </c>
      <c r="M12">
        <f t="shared" si="1"/>
        <v>3208</v>
      </c>
      <c r="N12">
        <f t="shared" si="2"/>
        <v>0.70791770573566082</v>
      </c>
      <c r="O12">
        <f t="shared" si="3"/>
        <v>0.70791770573566082</v>
      </c>
      <c r="P12">
        <f t="shared" si="4"/>
        <v>0.70791770573566082</v>
      </c>
      <c r="Q12">
        <f t="shared" si="5"/>
        <v>0.54788902291917974</v>
      </c>
    </row>
    <row r="13" spans="1:21" x14ac:dyDescent="0.3">
      <c r="A13" t="s">
        <v>30</v>
      </c>
      <c r="B13" t="s">
        <v>31</v>
      </c>
      <c r="C13">
        <v>6563</v>
      </c>
      <c r="D13">
        <v>6563</v>
      </c>
      <c r="E13">
        <v>4717</v>
      </c>
      <c r="F13">
        <v>1846</v>
      </c>
      <c r="G13">
        <v>1846</v>
      </c>
      <c r="H13">
        <v>0.71899999999999997</v>
      </c>
      <c r="I13">
        <v>0.71899999999999997</v>
      </c>
      <c r="J13">
        <v>0.71899999999999997</v>
      </c>
      <c r="K13" s="2"/>
      <c r="L13">
        <f t="shared" si="0"/>
        <v>6563</v>
      </c>
      <c r="M13">
        <f t="shared" si="1"/>
        <v>6563</v>
      </c>
      <c r="N13">
        <f t="shared" si="2"/>
        <v>0.71872619229011125</v>
      </c>
      <c r="O13">
        <f t="shared" si="3"/>
        <v>0.71872619229011125</v>
      </c>
      <c r="P13">
        <f t="shared" si="4"/>
        <v>0.71872619229011125</v>
      </c>
      <c r="Q13">
        <f t="shared" si="5"/>
        <v>0.56094660482816028</v>
      </c>
    </row>
    <row r="14" spans="1:21" x14ac:dyDescent="0.3">
      <c r="A14" t="s">
        <v>78</v>
      </c>
    </row>
    <row r="15" spans="1:21" ht="28.8" x14ac:dyDescent="0.3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9</v>
      </c>
    </row>
    <row r="16" spans="1:21" x14ac:dyDescent="0.3">
      <c r="A16" s="7" t="s">
        <v>81</v>
      </c>
      <c r="B16" s="7" t="s">
        <v>11</v>
      </c>
      <c r="C16" s="7">
        <v>8031</v>
      </c>
      <c r="D16" s="7">
        <v>7894</v>
      </c>
      <c r="E16" s="7">
        <v>7558</v>
      </c>
      <c r="F16" s="7">
        <v>473</v>
      </c>
      <c r="G16" s="7">
        <v>336</v>
      </c>
      <c r="H16" s="7">
        <v>0.94110000000000005</v>
      </c>
      <c r="I16" s="7">
        <v>0.95750000000000002</v>
      </c>
      <c r="J16" s="7">
        <v>0.94920000000000004</v>
      </c>
      <c r="L16">
        <f t="shared" si="0"/>
        <v>8031</v>
      </c>
      <c r="M16">
        <f t="shared" si="1"/>
        <v>7894</v>
      </c>
      <c r="N16">
        <f t="shared" si="2"/>
        <v>0.94110322500311294</v>
      </c>
      <c r="O16">
        <f t="shared" si="3"/>
        <v>0.95743602736255384</v>
      </c>
      <c r="P16">
        <f t="shared" si="4"/>
        <v>0.94919937205651495</v>
      </c>
      <c r="Q16">
        <f t="shared" si="5"/>
        <v>0.90331062507469817</v>
      </c>
      <c r="R16">
        <v>0.95069204152249132</v>
      </c>
      <c r="S16">
        <v>0.90601813685078314</v>
      </c>
      <c r="T16">
        <v>0.8673875924871941</v>
      </c>
      <c r="U16">
        <v>0.76582914572864325</v>
      </c>
    </row>
    <row r="17" spans="1:21" x14ac:dyDescent="0.3">
      <c r="A17" s="7" t="s">
        <v>12</v>
      </c>
      <c r="B17" s="7" t="s">
        <v>13</v>
      </c>
      <c r="C17" s="7">
        <v>14521</v>
      </c>
      <c r="D17" s="7">
        <v>14063</v>
      </c>
      <c r="E17" s="7">
        <v>11876</v>
      </c>
      <c r="F17" s="7">
        <v>2645</v>
      </c>
      <c r="G17" s="7">
        <v>2187</v>
      </c>
      <c r="H17" s="7">
        <v>0.81779999999999997</v>
      </c>
      <c r="I17" s="7">
        <v>0.84450000000000003</v>
      </c>
      <c r="J17" s="7">
        <v>0.83089999999999997</v>
      </c>
      <c r="L17">
        <f t="shared" si="0"/>
        <v>14521</v>
      </c>
      <c r="M17">
        <f t="shared" si="1"/>
        <v>14063</v>
      </c>
      <c r="N17">
        <f t="shared" si="2"/>
        <v>0.81785001032986704</v>
      </c>
      <c r="O17">
        <f t="shared" si="3"/>
        <v>0.84448552940339894</v>
      </c>
      <c r="P17">
        <f t="shared" si="4"/>
        <v>0.83095438007276801</v>
      </c>
      <c r="Q17">
        <f t="shared" si="5"/>
        <v>0.71079722288723968</v>
      </c>
      <c r="R17">
        <v>0.83706225680933855</v>
      </c>
      <c r="S17">
        <v>0.71978251777498958</v>
      </c>
      <c r="T17">
        <v>0.83501215699895792</v>
      </c>
      <c r="U17">
        <v>0.71675611210494927</v>
      </c>
    </row>
    <row r="18" spans="1:21" x14ac:dyDescent="0.3">
      <c r="A18" s="7" t="s">
        <v>14</v>
      </c>
      <c r="B18" s="7" t="s">
        <v>15</v>
      </c>
      <c r="C18" s="7">
        <v>17746</v>
      </c>
      <c r="D18" s="7">
        <v>17194</v>
      </c>
      <c r="E18" s="7">
        <v>14602</v>
      </c>
      <c r="F18" s="7">
        <v>3144</v>
      </c>
      <c r="G18" s="7">
        <v>2592</v>
      </c>
      <c r="H18" s="7">
        <v>0.82279999999999998</v>
      </c>
      <c r="I18" s="7">
        <v>0.84889999999999999</v>
      </c>
      <c r="J18" s="7">
        <v>0.8357</v>
      </c>
      <c r="L18">
        <f t="shared" si="0"/>
        <v>17746</v>
      </c>
      <c r="M18">
        <f t="shared" si="1"/>
        <v>17194</v>
      </c>
      <c r="N18">
        <f t="shared" si="2"/>
        <v>0.82283331454975772</v>
      </c>
      <c r="O18">
        <f t="shared" si="3"/>
        <v>0.84924973828079564</v>
      </c>
      <c r="P18">
        <f t="shared" si="4"/>
        <v>0.83583285632512883</v>
      </c>
      <c r="Q18">
        <f t="shared" si="5"/>
        <v>0.71796636837447148</v>
      </c>
      <c r="R18">
        <v>0.82876440206595148</v>
      </c>
      <c r="S18">
        <v>0.70759837177747631</v>
      </c>
      <c r="T18">
        <v>0.81638262781748216</v>
      </c>
      <c r="U18">
        <v>0.68973525313516026</v>
      </c>
    </row>
    <row r="19" spans="1:21" x14ac:dyDescent="0.3">
      <c r="A19" s="7" t="s">
        <v>16</v>
      </c>
      <c r="B19" s="7" t="s">
        <v>17</v>
      </c>
      <c r="C19" s="7">
        <v>8168</v>
      </c>
      <c r="D19" s="7">
        <v>7921</v>
      </c>
      <c r="E19" s="7">
        <v>6841</v>
      </c>
      <c r="F19" s="7">
        <v>1327</v>
      </c>
      <c r="G19" s="7">
        <v>1080</v>
      </c>
      <c r="H19" s="7">
        <v>0.83750000000000002</v>
      </c>
      <c r="I19" s="7">
        <v>0.86360000000000003</v>
      </c>
      <c r="J19" s="7">
        <v>0.85040000000000004</v>
      </c>
      <c r="L19">
        <f t="shared" si="0"/>
        <v>8168</v>
      </c>
      <c r="M19">
        <f t="shared" si="1"/>
        <v>7921</v>
      </c>
      <c r="N19">
        <f t="shared" si="2"/>
        <v>0.83753672869735551</v>
      </c>
      <c r="O19">
        <f t="shared" si="3"/>
        <v>0.86365357909354878</v>
      </c>
      <c r="P19">
        <f t="shared" si="4"/>
        <v>0.85039467959475423</v>
      </c>
      <c r="Q19">
        <f t="shared" si="5"/>
        <v>0.73972750865051906</v>
      </c>
      <c r="R19">
        <v>0.84169550173010377</v>
      </c>
      <c r="S19">
        <v>0.72666168782673635</v>
      </c>
      <c r="T19">
        <v>0.82301369863013696</v>
      </c>
      <c r="U19">
        <v>0.6992551210428305</v>
      </c>
    </row>
    <row r="20" spans="1:21" x14ac:dyDescent="0.3">
      <c r="A20" s="7" t="s">
        <v>18</v>
      </c>
      <c r="B20" s="7" t="s">
        <v>19</v>
      </c>
      <c r="C20" s="7">
        <v>27015</v>
      </c>
      <c r="D20" s="7">
        <v>26348</v>
      </c>
      <c r="E20" s="7">
        <v>22048</v>
      </c>
      <c r="F20" s="7">
        <v>4967</v>
      </c>
      <c r="G20" s="7">
        <v>4300</v>
      </c>
      <c r="H20" s="7">
        <v>0.81620000000000004</v>
      </c>
      <c r="I20" s="7">
        <v>0.83679999999999999</v>
      </c>
      <c r="J20" s="7">
        <v>0.82630000000000003</v>
      </c>
      <c r="L20">
        <f t="shared" si="0"/>
        <v>27015</v>
      </c>
      <c r="M20">
        <f t="shared" si="1"/>
        <v>26348</v>
      </c>
      <c r="N20">
        <f t="shared" si="2"/>
        <v>0.81613918193596147</v>
      </c>
      <c r="O20">
        <f t="shared" si="3"/>
        <v>0.83679975709731291</v>
      </c>
      <c r="P20">
        <f t="shared" si="4"/>
        <v>0.82634034818132418</v>
      </c>
      <c r="Q20">
        <f t="shared" si="5"/>
        <v>0.7040715312150726</v>
      </c>
      <c r="R20">
        <v>0.81386955400876515</v>
      </c>
      <c r="S20">
        <v>0.68615518365572703</v>
      </c>
      <c r="T20">
        <v>0.8223140495867769</v>
      </c>
      <c r="U20">
        <v>0.69824561403508767</v>
      </c>
    </row>
    <row r="21" spans="1:21" x14ac:dyDescent="0.3">
      <c r="A21" s="7" t="s">
        <v>20</v>
      </c>
      <c r="B21" s="7" t="s">
        <v>21</v>
      </c>
      <c r="C21" s="7">
        <v>17623</v>
      </c>
      <c r="D21" s="7">
        <v>17092</v>
      </c>
      <c r="E21" s="7">
        <v>14721</v>
      </c>
      <c r="F21" s="7">
        <v>2902</v>
      </c>
      <c r="G21" s="7">
        <v>2371</v>
      </c>
      <c r="H21" s="7">
        <v>0.83540000000000003</v>
      </c>
      <c r="I21" s="7">
        <v>0.86129999999999995</v>
      </c>
      <c r="J21" s="7">
        <v>0.84819999999999995</v>
      </c>
      <c r="L21">
        <f t="shared" si="0"/>
        <v>17623</v>
      </c>
      <c r="M21">
        <f t="shared" si="1"/>
        <v>17092</v>
      </c>
      <c r="N21">
        <f t="shared" si="2"/>
        <v>0.83532883164046989</v>
      </c>
      <c r="O21">
        <f t="shared" si="3"/>
        <v>0.86128013105546453</v>
      </c>
      <c r="P21">
        <f t="shared" si="4"/>
        <v>0.84810600604925823</v>
      </c>
      <c r="Q21">
        <f t="shared" si="5"/>
        <v>0.73627088126437934</v>
      </c>
      <c r="R21">
        <v>0.83551847437425508</v>
      </c>
      <c r="S21">
        <v>0.71750255885363357</v>
      </c>
      <c r="T21">
        <v>0.80980603448275867</v>
      </c>
      <c r="U21">
        <v>0.68039837030330463</v>
      </c>
    </row>
    <row r="22" spans="1:21" x14ac:dyDescent="0.3">
      <c r="A22" s="7" t="s">
        <v>22</v>
      </c>
      <c r="B22" s="7" t="s">
        <v>23</v>
      </c>
      <c r="C22" s="7">
        <v>26891</v>
      </c>
      <c r="D22" s="7">
        <v>26233</v>
      </c>
      <c r="E22" s="7">
        <v>22617</v>
      </c>
      <c r="F22" s="7">
        <v>4274</v>
      </c>
      <c r="G22" s="7">
        <v>3616</v>
      </c>
      <c r="H22" s="7">
        <v>0.84109999999999996</v>
      </c>
      <c r="I22" s="7">
        <v>0.86219999999999997</v>
      </c>
      <c r="J22" s="7">
        <v>0.85150000000000003</v>
      </c>
      <c r="L22">
        <f t="shared" si="0"/>
        <v>26891</v>
      </c>
      <c r="M22">
        <f t="shared" si="1"/>
        <v>26233</v>
      </c>
      <c r="N22">
        <f t="shared" si="2"/>
        <v>0.84106206537503259</v>
      </c>
      <c r="O22">
        <f t="shared" si="3"/>
        <v>0.86215835016963371</v>
      </c>
      <c r="P22">
        <f t="shared" si="4"/>
        <v>0.85147955726225433</v>
      </c>
      <c r="Q22">
        <f t="shared" si="5"/>
        <v>0.74137083292359129</v>
      </c>
      <c r="R22">
        <v>0.83294663573085848</v>
      </c>
      <c r="S22">
        <v>0.71371769383697814</v>
      </c>
      <c r="T22">
        <v>0.71060348819262231</v>
      </c>
      <c r="U22">
        <v>0.55111323916686616</v>
      </c>
    </row>
    <row r="23" spans="1:21" ht="28.8" x14ac:dyDescent="0.3">
      <c r="A23" s="7" t="s">
        <v>80</v>
      </c>
    </row>
    <row r="24" spans="1:21" ht="28.8" x14ac:dyDescent="0.3">
      <c r="A24" s="6" t="s">
        <v>0</v>
      </c>
      <c r="B24" s="6" t="s">
        <v>1</v>
      </c>
      <c r="C24" s="9" t="s">
        <v>2</v>
      </c>
      <c r="D24" s="9" t="s">
        <v>3</v>
      </c>
      <c r="E24" s="9" t="s">
        <v>4</v>
      </c>
      <c r="F24" s="9" t="s">
        <v>5</v>
      </c>
      <c r="G24" s="9" t="s">
        <v>6</v>
      </c>
      <c r="H24" s="9" t="s">
        <v>7</v>
      </c>
      <c r="I24" s="9" t="s">
        <v>8</v>
      </c>
      <c r="J24" s="9" t="s">
        <v>9</v>
      </c>
    </row>
    <row r="25" spans="1:21" x14ac:dyDescent="0.3">
      <c r="A25" s="7" t="s">
        <v>81</v>
      </c>
      <c r="B25" s="7" t="s">
        <v>11</v>
      </c>
      <c r="C25" s="8">
        <v>831</v>
      </c>
      <c r="D25" s="8">
        <v>926</v>
      </c>
      <c r="E25" s="8">
        <v>762</v>
      </c>
      <c r="F25" s="8">
        <v>69</v>
      </c>
      <c r="G25" s="8">
        <v>164</v>
      </c>
      <c r="H25" s="8">
        <v>0.91449999999999998</v>
      </c>
      <c r="I25" s="8">
        <v>0.82850000000000001</v>
      </c>
      <c r="J25" s="8">
        <v>0.86929999999999996</v>
      </c>
      <c r="L25">
        <f t="shared" ref="L23:L31" si="6">E25+F25</f>
        <v>831</v>
      </c>
      <c r="M25">
        <f t="shared" ref="M23:M31" si="7">E25+G25</f>
        <v>926</v>
      </c>
      <c r="N25">
        <f t="shared" ref="N23:N31" si="8">E25/(F25+E25)</f>
        <v>0.9169675090252708</v>
      </c>
      <c r="O25">
        <f t="shared" ref="O23:O31" si="9">E25/(E25+G25)</f>
        <v>0.82289416846652264</v>
      </c>
      <c r="P25">
        <f t="shared" ref="P23:P31" si="10">2*E25/(2*E25+F25+G25)</f>
        <v>0.8673875924871941</v>
      </c>
      <c r="Q25">
        <f t="shared" ref="Q23:Q31" si="11">E25/(E25+F25+G25)</f>
        <v>0.76582914572864325</v>
      </c>
    </row>
    <row r="26" spans="1:21" x14ac:dyDescent="0.3">
      <c r="A26" s="7" t="s">
        <v>12</v>
      </c>
      <c r="B26" s="7" t="s">
        <v>13</v>
      </c>
      <c r="C26" s="8">
        <v>1315</v>
      </c>
      <c r="D26" s="8">
        <v>1564</v>
      </c>
      <c r="E26" s="8">
        <v>1202</v>
      </c>
      <c r="F26" s="8">
        <v>113</v>
      </c>
      <c r="G26" s="8">
        <v>362</v>
      </c>
      <c r="H26" s="8">
        <v>0.91159999999999997</v>
      </c>
      <c r="I26" s="8">
        <v>0.79459999999999997</v>
      </c>
      <c r="J26" s="8">
        <v>0.84899999999999998</v>
      </c>
      <c r="L26">
        <f t="shared" si="6"/>
        <v>1315</v>
      </c>
      <c r="M26">
        <f t="shared" si="7"/>
        <v>1564</v>
      </c>
      <c r="N26">
        <f t="shared" si="8"/>
        <v>0.9140684410646388</v>
      </c>
      <c r="O26">
        <f t="shared" si="9"/>
        <v>0.76854219948849101</v>
      </c>
      <c r="P26">
        <f t="shared" si="10"/>
        <v>0.83501215699895792</v>
      </c>
      <c r="Q26">
        <f t="shared" si="11"/>
        <v>0.71675611210494927</v>
      </c>
    </row>
    <row r="27" spans="1:21" x14ac:dyDescent="0.3">
      <c r="A27" s="7" t="s">
        <v>14</v>
      </c>
      <c r="B27" s="7" t="s">
        <v>15</v>
      </c>
      <c r="C27" s="8">
        <v>1668</v>
      </c>
      <c r="D27" s="8">
        <v>1970</v>
      </c>
      <c r="E27" s="8">
        <v>1485</v>
      </c>
      <c r="F27" s="8">
        <v>183</v>
      </c>
      <c r="G27" s="8">
        <v>485</v>
      </c>
      <c r="H27" s="8">
        <v>0.89339999999999997</v>
      </c>
      <c r="I27" s="8">
        <v>0.77649999999999997</v>
      </c>
      <c r="J27" s="8">
        <v>0.83109999999999995</v>
      </c>
      <c r="L27">
        <f t="shared" si="6"/>
        <v>1668</v>
      </c>
      <c r="M27">
        <f t="shared" si="7"/>
        <v>1970</v>
      </c>
      <c r="N27">
        <f t="shared" si="8"/>
        <v>0.89028776978417268</v>
      </c>
      <c r="O27">
        <f t="shared" si="9"/>
        <v>0.75380710659898476</v>
      </c>
      <c r="P27">
        <f t="shared" si="10"/>
        <v>0.81638262781748216</v>
      </c>
      <c r="Q27">
        <f t="shared" si="11"/>
        <v>0.68973525313516026</v>
      </c>
    </row>
    <row r="28" spans="1:21" x14ac:dyDescent="0.3">
      <c r="A28" s="7" t="s">
        <v>16</v>
      </c>
      <c r="B28" s="7" t="s">
        <v>17</v>
      </c>
      <c r="C28" s="8">
        <v>827</v>
      </c>
      <c r="D28" s="8">
        <v>998</v>
      </c>
      <c r="E28" s="8">
        <v>751</v>
      </c>
      <c r="F28" s="8">
        <v>76</v>
      </c>
      <c r="G28" s="8">
        <v>247</v>
      </c>
      <c r="H28" s="8">
        <v>0.89670000000000005</v>
      </c>
      <c r="I28" s="8">
        <v>0.76190000000000002</v>
      </c>
      <c r="J28" s="8">
        <v>0.82379999999999998</v>
      </c>
      <c r="L28">
        <f t="shared" si="6"/>
        <v>827</v>
      </c>
      <c r="M28">
        <f t="shared" si="7"/>
        <v>998</v>
      </c>
      <c r="N28">
        <f t="shared" si="8"/>
        <v>0.90810157194679564</v>
      </c>
      <c r="O28">
        <f t="shared" si="9"/>
        <v>0.75250501002004011</v>
      </c>
      <c r="P28">
        <f t="shared" si="10"/>
        <v>0.82301369863013696</v>
      </c>
      <c r="Q28">
        <f t="shared" si="11"/>
        <v>0.6992551210428305</v>
      </c>
    </row>
    <row r="29" spans="1:21" x14ac:dyDescent="0.3">
      <c r="A29" s="7" t="s">
        <v>18</v>
      </c>
      <c r="B29" s="7" t="s">
        <v>19</v>
      </c>
      <c r="C29" s="8">
        <v>2606</v>
      </c>
      <c r="D29" s="8">
        <v>3202</v>
      </c>
      <c r="E29" s="8">
        <v>2388</v>
      </c>
      <c r="F29" s="8">
        <v>218</v>
      </c>
      <c r="G29" s="8">
        <v>814</v>
      </c>
      <c r="H29" s="8">
        <v>0.9</v>
      </c>
      <c r="I29" s="8">
        <v>0.76080000000000003</v>
      </c>
      <c r="J29" s="8">
        <v>0.8246</v>
      </c>
      <c r="L29">
        <f t="shared" si="6"/>
        <v>2606</v>
      </c>
      <c r="M29">
        <f t="shared" si="7"/>
        <v>3202</v>
      </c>
      <c r="N29">
        <f t="shared" si="8"/>
        <v>0.91634689178818107</v>
      </c>
      <c r="O29">
        <f t="shared" si="9"/>
        <v>0.74578388507183013</v>
      </c>
      <c r="P29">
        <f t="shared" si="10"/>
        <v>0.8223140495867769</v>
      </c>
      <c r="Q29">
        <f t="shared" si="11"/>
        <v>0.69824561403508767</v>
      </c>
    </row>
    <row r="30" spans="1:21" x14ac:dyDescent="0.3">
      <c r="A30" s="7" t="s">
        <v>20</v>
      </c>
      <c r="B30" s="7" t="s">
        <v>21</v>
      </c>
      <c r="C30" s="8">
        <v>1672</v>
      </c>
      <c r="D30" s="8">
        <v>2040</v>
      </c>
      <c r="E30" s="8">
        <v>1503</v>
      </c>
      <c r="F30" s="8">
        <v>169</v>
      </c>
      <c r="G30" s="8">
        <v>537</v>
      </c>
      <c r="H30" s="8">
        <v>0.90010000000000001</v>
      </c>
      <c r="I30" s="8">
        <v>0.76029999999999998</v>
      </c>
      <c r="J30" s="8">
        <v>0.82430000000000003</v>
      </c>
      <c r="L30">
        <f t="shared" si="6"/>
        <v>1672</v>
      </c>
      <c r="M30">
        <f t="shared" si="7"/>
        <v>2040</v>
      </c>
      <c r="N30">
        <f t="shared" si="8"/>
        <v>0.89892344497607657</v>
      </c>
      <c r="O30">
        <f t="shared" si="9"/>
        <v>0.73676470588235299</v>
      </c>
      <c r="P30">
        <f t="shared" si="10"/>
        <v>0.80980603448275867</v>
      </c>
      <c r="Q30">
        <f t="shared" si="11"/>
        <v>0.68039837030330463</v>
      </c>
    </row>
    <row r="31" spans="1:21" x14ac:dyDescent="0.3">
      <c r="A31" s="7" t="s">
        <v>22</v>
      </c>
      <c r="B31" s="7" t="s">
        <v>23</v>
      </c>
      <c r="C31" s="8">
        <v>3289</v>
      </c>
      <c r="D31" s="8">
        <v>3190</v>
      </c>
      <c r="E31" s="8">
        <v>2302</v>
      </c>
      <c r="F31" s="8">
        <v>987</v>
      </c>
      <c r="G31" s="8">
        <v>888</v>
      </c>
      <c r="H31" s="8">
        <v>0.89349999999999996</v>
      </c>
      <c r="I31" s="8">
        <v>0.74560000000000004</v>
      </c>
      <c r="J31" s="8">
        <v>0.81289999999999996</v>
      </c>
      <c r="L31">
        <f t="shared" si="6"/>
        <v>3289</v>
      </c>
      <c r="M31">
        <f t="shared" si="7"/>
        <v>3190</v>
      </c>
      <c r="N31">
        <f t="shared" si="8"/>
        <v>0.69990878686530855</v>
      </c>
      <c r="O31">
        <f t="shared" si="9"/>
        <v>0.72163009404388712</v>
      </c>
      <c r="P31">
        <f t="shared" si="10"/>
        <v>0.71060348819262231</v>
      </c>
      <c r="Q31">
        <f t="shared" si="11"/>
        <v>0.55111323916686616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0ED3-5EF9-4ABD-BF53-8A99E8E40D8F}">
  <dimension ref="A2:U33"/>
  <sheetViews>
    <sheetView topLeftCell="A9" workbookViewId="0">
      <selection activeCell="Q27" sqref="Q27"/>
    </sheetView>
  </sheetViews>
  <sheetFormatPr defaultRowHeight="14.4" x14ac:dyDescent="0.3"/>
  <sheetData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2</v>
      </c>
      <c r="M2" t="s">
        <v>3</v>
      </c>
      <c r="N2" t="s">
        <v>83</v>
      </c>
      <c r="O2" t="s">
        <v>84</v>
      </c>
      <c r="P2" t="s">
        <v>9</v>
      </c>
      <c r="Q2" t="s">
        <v>82</v>
      </c>
    </row>
    <row r="3" spans="1:21" x14ac:dyDescent="0.3">
      <c r="A3" t="s">
        <v>81</v>
      </c>
      <c r="B3" t="s">
        <v>11</v>
      </c>
      <c r="C3">
        <v>55</v>
      </c>
      <c r="D3">
        <v>56</v>
      </c>
      <c r="E3">
        <v>49</v>
      </c>
      <c r="F3">
        <v>6</v>
      </c>
      <c r="G3">
        <v>7</v>
      </c>
      <c r="H3">
        <v>0.89090909090909087</v>
      </c>
      <c r="I3">
        <v>0.875</v>
      </c>
      <c r="J3">
        <v>0.88288288288288286</v>
      </c>
      <c r="K3" s="1"/>
      <c r="L3">
        <f>E3+F3</f>
        <v>55</v>
      </c>
      <c r="M3">
        <f>E3+G3</f>
        <v>56</v>
      </c>
      <c r="N3">
        <f>E3/(F3+E3)</f>
        <v>0.89090909090909087</v>
      </c>
      <c r="O3">
        <f>E3/(E3+G3)</f>
        <v>0.875</v>
      </c>
      <c r="P3">
        <f>2*E3/(2*E3+F3+G3)</f>
        <v>0.88288288288288286</v>
      </c>
      <c r="Q3">
        <f>E3/(E3+F3+G3)</f>
        <v>0.79032258064516125</v>
      </c>
    </row>
    <row r="4" spans="1:21" x14ac:dyDescent="0.3">
      <c r="A4" t="s">
        <v>12</v>
      </c>
      <c r="B4" t="s">
        <v>13</v>
      </c>
      <c r="C4">
        <v>107</v>
      </c>
      <c r="D4">
        <v>111</v>
      </c>
      <c r="E4">
        <v>92</v>
      </c>
      <c r="F4">
        <v>15</v>
      </c>
      <c r="G4">
        <v>19</v>
      </c>
      <c r="H4">
        <v>0.85981308411214952</v>
      </c>
      <c r="I4">
        <v>0.8288288288288288</v>
      </c>
      <c r="J4">
        <v>0.84403669724770647</v>
      </c>
      <c r="K4" s="1"/>
      <c r="L4">
        <f t="shared" ref="L4:L22" si="0">E4+F4</f>
        <v>107</v>
      </c>
      <c r="M4">
        <f t="shared" ref="M4:M22" si="1">E4+G4</f>
        <v>111</v>
      </c>
      <c r="N4">
        <f t="shared" ref="N4:N22" si="2">E4/(F4+E4)</f>
        <v>0.85981308411214952</v>
      </c>
      <c r="O4">
        <f t="shared" ref="O4:O22" si="3">E4/(E4+G4)</f>
        <v>0.8288288288288288</v>
      </c>
      <c r="P4">
        <f t="shared" ref="P4:P22" si="4">2*E4/(2*E4+F4+G4)</f>
        <v>0.84403669724770647</v>
      </c>
      <c r="Q4">
        <f t="shared" ref="Q4:Q22" si="5">E4/(E4+F4+G4)</f>
        <v>0.73015873015873012</v>
      </c>
    </row>
    <row r="5" spans="1:21" x14ac:dyDescent="0.3">
      <c r="A5" t="s">
        <v>14</v>
      </c>
      <c r="B5" t="s">
        <v>15</v>
      </c>
      <c r="C5">
        <v>83</v>
      </c>
      <c r="D5">
        <v>85</v>
      </c>
      <c r="E5">
        <v>71</v>
      </c>
      <c r="F5">
        <v>12</v>
      </c>
      <c r="G5">
        <v>14</v>
      </c>
      <c r="H5">
        <v>0.85542168674698793</v>
      </c>
      <c r="I5">
        <v>0.83529411764705885</v>
      </c>
      <c r="J5">
        <v>0.84523809523809523</v>
      </c>
      <c r="K5" s="1"/>
      <c r="L5">
        <f t="shared" si="0"/>
        <v>83</v>
      </c>
      <c r="M5">
        <f t="shared" si="1"/>
        <v>85</v>
      </c>
      <c r="N5">
        <f t="shared" si="2"/>
        <v>0.85542168674698793</v>
      </c>
      <c r="O5">
        <f t="shared" si="3"/>
        <v>0.83529411764705885</v>
      </c>
      <c r="P5">
        <f t="shared" si="4"/>
        <v>0.84523809523809523</v>
      </c>
      <c r="Q5">
        <f t="shared" si="5"/>
        <v>0.73195876288659789</v>
      </c>
    </row>
    <row r="6" spans="1:21" x14ac:dyDescent="0.3">
      <c r="A6" t="s">
        <v>16</v>
      </c>
      <c r="B6" t="s">
        <v>17</v>
      </c>
      <c r="C6">
        <v>69</v>
      </c>
      <c r="D6">
        <v>72</v>
      </c>
      <c r="E6">
        <v>60</v>
      </c>
      <c r="F6">
        <v>9</v>
      </c>
      <c r="G6">
        <v>12</v>
      </c>
      <c r="H6">
        <v>0.86956521739130432</v>
      </c>
      <c r="I6">
        <v>0.83333333333333337</v>
      </c>
      <c r="J6">
        <v>0.85106382978723405</v>
      </c>
      <c r="K6" s="1"/>
      <c r="L6">
        <f t="shared" si="0"/>
        <v>69</v>
      </c>
      <c r="M6">
        <f t="shared" si="1"/>
        <v>72</v>
      </c>
      <c r="N6">
        <f t="shared" si="2"/>
        <v>0.86956521739130432</v>
      </c>
      <c r="O6">
        <f t="shared" si="3"/>
        <v>0.83333333333333337</v>
      </c>
      <c r="P6">
        <f t="shared" si="4"/>
        <v>0.85106382978723405</v>
      </c>
      <c r="Q6">
        <f t="shared" si="5"/>
        <v>0.7407407407407407</v>
      </c>
    </row>
    <row r="7" spans="1:21" x14ac:dyDescent="0.3">
      <c r="A7" t="s">
        <v>18</v>
      </c>
      <c r="B7" t="s">
        <v>19</v>
      </c>
      <c r="C7">
        <v>143</v>
      </c>
      <c r="D7">
        <v>149</v>
      </c>
      <c r="E7">
        <v>117</v>
      </c>
      <c r="F7">
        <v>26</v>
      </c>
      <c r="G7">
        <v>32</v>
      </c>
      <c r="H7">
        <v>0.81818181818181823</v>
      </c>
      <c r="I7">
        <v>0.78523489932885904</v>
      </c>
      <c r="J7">
        <v>0.80136986301369861</v>
      </c>
      <c r="K7" s="1"/>
      <c r="L7">
        <f t="shared" si="0"/>
        <v>143</v>
      </c>
      <c r="M7">
        <f t="shared" si="1"/>
        <v>149</v>
      </c>
      <c r="N7">
        <f t="shared" si="2"/>
        <v>0.81818181818181823</v>
      </c>
      <c r="O7">
        <f t="shared" si="3"/>
        <v>0.78523489932885904</v>
      </c>
      <c r="P7">
        <f t="shared" si="4"/>
        <v>0.80136986301369861</v>
      </c>
      <c r="Q7">
        <f t="shared" si="5"/>
        <v>0.66857142857142859</v>
      </c>
    </row>
    <row r="8" spans="1:21" x14ac:dyDescent="0.3">
      <c r="A8" t="s">
        <v>20</v>
      </c>
      <c r="B8" t="s">
        <v>21</v>
      </c>
      <c r="C8">
        <v>88</v>
      </c>
      <c r="D8">
        <v>92</v>
      </c>
      <c r="E8">
        <v>74</v>
      </c>
      <c r="F8">
        <v>14</v>
      </c>
      <c r="G8">
        <v>18</v>
      </c>
      <c r="H8">
        <v>0.84090909090909094</v>
      </c>
      <c r="I8">
        <v>0.80434782608695654</v>
      </c>
      <c r="J8">
        <v>0.82222222222222219</v>
      </c>
      <c r="K8" s="1"/>
      <c r="L8">
        <f t="shared" si="0"/>
        <v>88</v>
      </c>
      <c r="M8">
        <f t="shared" si="1"/>
        <v>92</v>
      </c>
      <c r="N8">
        <f t="shared" si="2"/>
        <v>0.84090909090909094</v>
      </c>
      <c r="O8">
        <f t="shared" si="3"/>
        <v>0.80434782608695654</v>
      </c>
      <c r="P8">
        <f t="shared" si="4"/>
        <v>0.82222222222222219</v>
      </c>
      <c r="Q8">
        <f t="shared" si="5"/>
        <v>0.69811320754716977</v>
      </c>
    </row>
    <row r="9" spans="1:21" x14ac:dyDescent="0.3">
      <c r="A9" t="s">
        <v>22</v>
      </c>
      <c r="B9" t="s">
        <v>23</v>
      </c>
      <c r="C9">
        <v>140</v>
      </c>
      <c r="D9">
        <v>146</v>
      </c>
      <c r="E9">
        <v>118</v>
      </c>
      <c r="F9">
        <v>22</v>
      </c>
      <c r="G9">
        <v>28</v>
      </c>
      <c r="H9">
        <v>0.84285714285714286</v>
      </c>
      <c r="I9">
        <v>0.80821917808219179</v>
      </c>
      <c r="J9">
        <v>0.82517482517482521</v>
      </c>
      <c r="K9" s="1"/>
      <c r="L9">
        <f t="shared" si="0"/>
        <v>140</v>
      </c>
      <c r="M9">
        <f t="shared" si="1"/>
        <v>146</v>
      </c>
      <c r="N9">
        <f t="shared" si="2"/>
        <v>0.84285714285714286</v>
      </c>
      <c r="O9">
        <f t="shared" si="3"/>
        <v>0.80821917808219179</v>
      </c>
      <c r="P9">
        <f t="shared" si="4"/>
        <v>0.82517482517482521</v>
      </c>
      <c r="Q9">
        <f t="shared" si="5"/>
        <v>0.70238095238095233</v>
      </c>
    </row>
    <row r="10" spans="1:21" x14ac:dyDescent="0.3">
      <c r="A10" t="s">
        <v>24</v>
      </c>
      <c r="B10" t="s">
        <v>25</v>
      </c>
      <c r="C10">
        <v>167</v>
      </c>
      <c r="D10">
        <v>175</v>
      </c>
      <c r="E10">
        <v>115</v>
      </c>
      <c r="F10">
        <v>52</v>
      </c>
      <c r="G10">
        <v>60</v>
      </c>
      <c r="H10">
        <v>0.68862275449101795</v>
      </c>
      <c r="I10">
        <v>0.65714285714285714</v>
      </c>
      <c r="J10">
        <v>0.67251461988304095</v>
      </c>
      <c r="K10" s="1"/>
      <c r="L10">
        <f t="shared" si="0"/>
        <v>167</v>
      </c>
      <c r="M10">
        <f t="shared" si="1"/>
        <v>175</v>
      </c>
      <c r="N10">
        <f t="shared" si="2"/>
        <v>0.68862275449101795</v>
      </c>
      <c r="O10">
        <f t="shared" si="3"/>
        <v>0.65714285714285714</v>
      </c>
      <c r="P10">
        <f t="shared" si="4"/>
        <v>0.67251461988304095</v>
      </c>
      <c r="Q10">
        <f t="shared" si="5"/>
        <v>0.50660792951541855</v>
      </c>
    </row>
    <row r="11" spans="1:21" x14ac:dyDescent="0.3">
      <c r="A11" t="s">
        <v>26</v>
      </c>
      <c r="B11" t="s">
        <v>27</v>
      </c>
      <c r="C11">
        <v>224</v>
      </c>
      <c r="D11">
        <v>234</v>
      </c>
      <c r="E11">
        <v>169</v>
      </c>
      <c r="F11">
        <v>55</v>
      </c>
      <c r="G11">
        <v>65</v>
      </c>
      <c r="H11">
        <v>0.7544642857142857</v>
      </c>
      <c r="I11">
        <v>0.72222222222222221</v>
      </c>
      <c r="J11">
        <v>0.73799126637554591</v>
      </c>
      <c r="K11" s="1"/>
      <c r="L11">
        <f t="shared" si="0"/>
        <v>224</v>
      </c>
      <c r="M11">
        <f t="shared" si="1"/>
        <v>234</v>
      </c>
      <c r="N11">
        <f t="shared" si="2"/>
        <v>0.7544642857142857</v>
      </c>
      <c r="O11">
        <f t="shared" si="3"/>
        <v>0.72222222222222221</v>
      </c>
      <c r="P11">
        <f t="shared" si="4"/>
        <v>0.73799126637554591</v>
      </c>
      <c r="Q11">
        <f t="shared" si="5"/>
        <v>0.58477508650519028</v>
      </c>
    </row>
    <row r="12" spans="1:21" x14ac:dyDescent="0.3">
      <c r="A12" t="s">
        <v>28</v>
      </c>
      <c r="B12" t="s">
        <v>29</v>
      </c>
      <c r="C12">
        <v>119</v>
      </c>
      <c r="D12">
        <v>125</v>
      </c>
      <c r="E12">
        <v>85</v>
      </c>
      <c r="F12">
        <v>34</v>
      </c>
      <c r="G12">
        <v>40</v>
      </c>
      <c r="H12">
        <v>0.7142857142857143</v>
      </c>
      <c r="I12">
        <v>0.68</v>
      </c>
      <c r="J12">
        <v>0.69672131147540983</v>
      </c>
      <c r="K12" s="1"/>
      <c r="L12">
        <f t="shared" si="0"/>
        <v>119</v>
      </c>
      <c r="M12">
        <f t="shared" si="1"/>
        <v>125</v>
      </c>
      <c r="N12">
        <f t="shared" si="2"/>
        <v>0.7142857142857143</v>
      </c>
      <c r="O12">
        <f t="shared" si="3"/>
        <v>0.68</v>
      </c>
      <c r="P12">
        <f t="shared" si="4"/>
        <v>0.69672131147540983</v>
      </c>
      <c r="Q12">
        <f t="shared" si="5"/>
        <v>0.53459119496855345</v>
      </c>
    </row>
    <row r="13" spans="1:21" x14ac:dyDescent="0.3">
      <c r="A13" t="s">
        <v>30</v>
      </c>
      <c r="B13" t="s">
        <v>31</v>
      </c>
      <c r="C13">
        <v>192</v>
      </c>
      <c r="D13">
        <v>202</v>
      </c>
      <c r="E13">
        <v>147</v>
      </c>
      <c r="F13">
        <v>45</v>
      </c>
      <c r="G13">
        <v>55</v>
      </c>
      <c r="H13">
        <v>0.765625</v>
      </c>
      <c r="I13">
        <v>0.7277227722772277</v>
      </c>
      <c r="J13">
        <v>0.74619289340101524</v>
      </c>
      <c r="K13" s="1"/>
      <c r="L13">
        <f t="shared" si="0"/>
        <v>192</v>
      </c>
      <c r="M13">
        <f t="shared" si="1"/>
        <v>202</v>
      </c>
      <c r="N13">
        <f t="shared" si="2"/>
        <v>0.765625</v>
      </c>
      <c r="O13">
        <f t="shared" si="3"/>
        <v>0.7277227722772277</v>
      </c>
      <c r="P13">
        <f t="shared" si="4"/>
        <v>0.74619289340101524</v>
      </c>
      <c r="Q13">
        <f t="shared" si="5"/>
        <v>0.59514170040485825</v>
      </c>
    </row>
    <row r="14" spans="1:21" x14ac:dyDescent="0.3">
      <c r="A14" t="s">
        <v>78</v>
      </c>
    </row>
    <row r="15" spans="1:21" ht="28.8" x14ac:dyDescent="0.3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9</v>
      </c>
    </row>
    <row r="16" spans="1:21" x14ac:dyDescent="0.3">
      <c r="A16" s="7" t="s">
        <v>81</v>
      </c>
      <c r="B16" s="7" t="s">
        <v>11</v>
      </c>
      <c r="C16" s="7">
        <v>402</v>
      </c>
      <c r="D16" s="7">
        <v>386</v>
      </c>
      <c r="E16" s="7">
        <v>351</v>
      </c>
      <c r="F16" s="7">
        <v>51</v>
      </c>
      <c r="G16" s="7">
        <v>35</v>
      </c>
      <c r="H16" s="7">
        <v>0.87309999999999999</v>
      </c>
      <c r="I16" s="7">
        <v>0.9093</v>
      </c>
      <c r="J16" s="7">
        <v>0.89080000000000004</v>
      </c>
      <c r="L16">
        <f t="shared" si="0"/>
        <v>402</v>
      </c>
      <c r="M16">
        <f t="shared" si="1"/>
        <v>386</v>
      </c>
      <c r="N16">
        <f t="shared" si="2"/>
        <v>0.87313432835820892</v>
      </c>
      <c r="O16">
        <f t="shared" si="3"/>
        <v>0.90932642487046633</v>
      </c>
      <c r="P16">
        <f t="shared" si="4"/>
        <v>0.8908629441624365</v>
      </c>
      <c r="Q16">
        <f t="shared" si="5"/>
        <v>0.80320366132723109</v>
      </c>
      <c r="R16">
        <v>0.88288288288288286</v>
      </c>
      <c r="S16">
        <v>0.79032258064516125</v>
      </c>
      <c r="T16">
        <v>0.71604938271604934</v>
      </c>
      <c r="U16">
        <v>0.55769230769230771</v>
      </c>
    </row>
    <row r="17" spans="1:21" x14ac:dyDescent="0.3">
      <c r="A17" s="7" t="s">
        <v>12</v>
      </c>
      <c r="B17" s="7" t="s">
        <v>13</v>
      </c>
      <c r="C17" s="7">
        <v>781</v>
      </c>
      <c r="D17" s="7">
        <v>742</v>
      </c>
      <c r="E17" s="7">
        <v>635</v>
      </c>
      <c r="F17" s="7">
        <v>146</v>
      </c>
      <c r="G17" s="7">
        <v>107</v>
      </c>
      <c r="H17" s="7">
        <v>0.81299999999999994</v>
      </c>
      <c r="I17" s="7">
        <v>0.85599999999999998</v>
      </c>
      <c r="J17" s="7">
        <v>0.83389999999999997</v>
      </c>
      <c r="L17">
        <f t="shared" si="0"/>
        <v>781</v>
      </c>
      <c r="M17">
        <f t="shared" si="1"/>
        <v>742</v>
      </c>
      <c r="N17">
        <f t="shared" si="2"/>
        <v>0.8130601792573624</v>
      </c>
      <c r="O17">
        <f t="shared" si="3"/>
        <v>0.85579514824797842</v>
      </c>
      <c r="P17">
        <f t="shared" si="4"/>
        <v>0.83388049901510175</v>
      </c>
      <c r="Q17">
        <f t="shared" si="5"/>
        <v>0.71509009009009006</v>
      </c>
      <c r="R17">
        <v>0.84403669724770647</v>
      </c>
      <c r="S17">
        <v>0.73015873015873012</v>
      </c>
      <c r="T17">
        <v>0.69090909090909092</v>
      </c>
      <c r="U17">
        <v>0.52777777777777779</v>
      </c>
    </row>
    <row r="18" spans="1:21" x14ac:dyDescent="0.3">
      <c r="A18" s="7" t="s">
        <v>14</v>
      </c>
      <c r="B18" s="7" t="s">
        <v>15</v>
      </c>
      <c r="C18" s="7">
        <v>602</v>
      </c>
      <c r="D18" s="7">
        <v>574</v>
      </c>
      <c r="E18" s="7">
        <v>487</v>
      </c>
      <c r="F18" s="7">
        <v>115</v>
      </c>
      <c r="G18" s="7">
        <v>87</v>
      </c>
      <c r="H18" s="7">
        <v>0.80800000000000005</v>
      </c>
      <c r="I18" s="7">
        <v>0.84840000000000004</v>
      </c>
      <c r="J18" s="7">
        <v>0.82779999999999998</v>
      </c>
      <c r="L18">
        <f t="shared" si="0"/>
        <v>602</v>
      </c>
      <c r="M18">
        <f t="shared" si="1"/>
        <v>574</v>
      </c>
      <c r="N18">
        <f t="shared" si="2"/>
        <v>0.80897009966777411</v>
      </c>
      <c r="O18">
        <f t="shared" si="3"/>
        <v>0.84843205574912894</v>
      </c>
      <c r="P18">
        <f t="shared" si="4"/>
        <v>0.82823129251700678</v>
      </c>
      <c r="Q18">
        <f t="shared" si="5"/>
        <v>0.70682148040638604</v>
      </c>
      <c r="R18">
        <v>0.84523809523809523</v>
      </c>
      <c r="S18">
        <v>0.73195876288659789</v>
      </c>
      <c r="T18">
        <v>0.66666666666666663</v>
      </c>
      <c r="U18">
        <v>0.5</v>
      </c>
    </row>
    <row r="19" spans="1:21" x14ac:dyDescent="0.3">
      <c r="A19" s="7" t="s">
        <v>16</v>
      </c>
      <c r="B19" s="7" t="s">
        <v>17</v>
      </c>
      <c r="C19" s="7">
        <v>507</v>
      </c>
      <c r="D19" s="7">
        <v>481</v>
      </c>
      <c r="E19" s="7">
        <v>432</v>
      </c>
      <c r="F19" s="7">
        <v>75</v>
      </c>
      <c r="G19" s="7">
        <v>49</v>
      </c>
      <c r="H19" s="7">
        <v>0.85170000000000001</v>
      </c>
      <c r="I19" s="7">
        <v>0.89810000000000001</v>
      </c>
      <c r="J19" s="7">
        <v>0.87409999999999999</v>
      </c>
      <c r="L19">
        <f t="shared" si="0"/>
        <v>507</v>
      </c>
      <c r="M19">
        <f t="shared" si="1"/>
        <v>481</v>
      </c>
      <c r="N19">
        <f t="shared" si="2"/>
        <v>0.85207100591715978</v>
      </c>
      <c r="O19">
        <f t="shared" si="3"/>
        <v>0.89812889812889818</v>
      </c>
      <c r="P19">
        <f t="shared" si="4"/>
        <v>0.87449392712550611</v>
      </c>
      <c r="Q19">
        <f t="shared" si="5"/>
        <v>0.7769784172661871</v>
      </c>
      <c r="R19">
        <v>0.85106382978723405</v>
      </c>
      <c r="S19">
        <v>0.7407407407407407</v>
      </c>
      <c r="T19">
        <v>0.65486725663716816</v>
      </c>
      <c r="U19">
        <v>0.48684210526315791</v>
      </c>
    </row>
    <row r="20" spans="1:21" x14ac:dyDescent="0.3">
      <c r="A20" s="7" t="s">
        <v>18</v>
      </c>
      <c r="B20" s="7" t="s">
        <v>19</v>
      </c>
      <c r="C20" s="7">
        <v>1036</v>
      </c>
      <c r="D20" s="7">
        <v>982</v>
      </c>
      <c r="E20" s="7">
        <v>846</v>
      </c>
      <c r="F20" s="7">
        <v>190</v>
      </c>
      <c r="G20" s="7">
        <v>136</v>
      </c>
      <c r="H20" s="7">
        <v>0.81659999999999999</v>
      </c>
      <c r="I20" s="7">
        <v>0.86150000000000004</v>
      </c>
      <c r="J20" s="7">
        <v>0.83850000000000002</v>
      </c>
      <c r="L20">
        <f t="shared" si="0"/>
        <v>1036</v>
      </c>
      <c r="M20">
        <f t="shared" si="1"/>
        <v>982</v>
      </c>
      <c r="N20">
        <f t="shared" si="2"/>
        <v>0.81660231660231664</v>
      </c>
      <c r="O20">
        <f t="shared" si="3"/>
        <v>0.86150712830957232</v>
      </c>
      <c r="P20">
        <f t="shared" si="4"/>
        <v>0.83845391476709619</v>
      </c>
      <c r="Q20">
        <f t="shared" si="5"/>
        <v>0.72184300341296925</v>
      </c>
      <c r="R20">
        <v>0.80136986301369861</v>
      </c>
      <c r="S20">
        <v>0.66857142857142859</v>
      </c>
      <c r="T20">
        <v>0.66108786610878656</v>
      </c>
      <c r="U20">
        <v>0.49375000000000002</v>
      </c>
    </row>
    <row r="21" spans="1:21" x14ac:dyDescent="0.3">
      <c r="A21" s="7" t="s">
        <v>20</v>
      </c>
      <c r="B21" s="7" t="s">
        <v>21</v>
      </c>
      <c r="C21" s="7">
        <v>658</v>
      </c>
      <c r="D21" s="7">
        <v>621</v>
      </c>
      <c r="E21" s="7">
        <v>542</v>
      </c>
      <c r="F21" s="7">
        <v>116</v>
      </c>
      <c r="G21" s="7">
        <v>79</v>
      </c>
      <c r="H21" s="7">
        <v>0.82369999999999999</v>
      </c>
      <c r="I21" s="7">
        <v>0.873</v>
      </c>
      <c r="J21" s="7">
        <v>0.84770000000000001</v>
      </c>
      <c r="L21">
        <f t="shared" si="0"/>
        <v>658</v>
      </c>
      <c r="M21">
        <f t="shared" si="1"/>
        <v>621</v>
      </c>
      <c r="N21">
        <f t="shared" si="2"/>
        <v>0.82370820668693012</v>
      </c>
      <c r="O21">
        <f t="shared" si="3"/>
        <v>0.87278582930756843</v>
      </c>
      <c r="P21">
        <f t="shared" si="4"/>
        <v>0.84753713838936673</v>
      </c>
      <c r="Q21">
        <f t="shared" si="5"/>
        <v>0.73541383989145181</v>
      </c>
      <c r="R21">
        <v>0.82222222222222219</v>
      </c>
      <c r="S21">
        <v>0.69811320754716977</v>
      </c>
      <c r="T21">
        <v>0.57718120805369133</v>
      </c>
      <c r="U21">
        <v>0.40566037735849059</v>
      </c>
    </row>
    <row r="22" spans="1:21" x14ac:dyDescent="0.3">
      <c r="A22" s="7" t="s">
        <v>22</v>
      </c>
      <c r="B22" s="7" t="s">
        <v>23</v>
      </c>
      <c r="C22" s="7">
        <v>1018</v>
      </c>
      <c r="D22" s="7">
        <v>972</v>
      </c>
      <c r="E22" s="7">
        <v>861</v>
      </c>
      <c r="F22" s="7">
        <v>157</v>
      </c>
      <c r="G22" s="7">
        <v>111</v>
      </c>
      <c r="H22" s="7">
        <v>0.84560000000000002</v>
      </c>
      <c r="I22" s="7">
        <v>0.88580000000000003</v>
      </c>
      <c r="J22" s="7">
        <v>0.86529999999999996</v>
      </c>
      <c r="L22">
        <f t="shared" si="0"/>
        <v>1018</v>
      </c>
      <c r="M22">
        <f t="shared" si="1"/>
        <v>972</v>
      </c>
      <c r="N22">
        <f t="shared" si="2"/>
        <v>0.84577603143418467</v>
      </c>
      <c r="O22">
        <f t="shared" si="3"/>
        <v>0.88580246913580252</v>
      </c>
      <c r="P22">
        <f t="shared" si="4"/>
        <v>0.86532663316582914</v>
      </c>
      <c r="Q22">
        <f t="shared" si="5"/>
        <v>0.76262178919397694</v>
      </c>
      <c r="R22">
        <v>0.82517482517482521</v>
      </c>
      <c r="S22">
        <v>0.70238095238095233</v>
      </c>
      <c r="T22">
        <v>0.62295081967213117</v>
      </c>
      <c r="U22">
        <v>0.45238095238095238</v>
      </c>
    </row>
    <row r="25" spans="1:21" x14ac:dyDescent="0.3">
      <c r="A25" t="s">
        <v>80</v>
      </c>
    </row>
    <row r="26" spans="1:21" ht="28.8" x14ac:dyDescent="0.3">
      <c r="A26" s="6" t="s">
        <v>0</v>
      </c>
      <c r="B26" s="6" t="s">
        <v>1</v>
      </c>
      <c r="C26" s="9" t="s">
        <v>2</v>
      </c>
      <c r="D26" s="9" t="s">
        <v>3</v>
      </c>
      <c r="E26" s="9" t="s">
        <v>4</v>
      </c>
      <c r="F26" s="9" t="s">
        <v>5</v>
      </c>
      <c r="G26" s="9" t="s">
        <v>6</v>
      </c>
      <c r="H26" s="9" t="s">
        <v>7</v>
      </c>
      <c r="I26" s="9" t="s">
        <v>8</v>
      </c>
      <c r="J26" s="9" t="s">
        <v>9</v>
      </c>
    </row>
    <row r="27" spans="1:21" x14ac:dyDescent="0.3">
      <c r="A27" s="7" t="s">
        <v>81</v>
      </c>
      <c r="B27" s="7" t="s">
        <v>11</v>
      </c>
      <c r="C27" s="8">
        <v>33</v>
      </c>
      <c r="D27" s="8">
        <v>48</v>
      </c>
      <c r="E27" s="8">
        <v>29</v>
      </c>
      <c r="F27" s="8">
        <v>4</v>
      </c>
      <c r="G27" s="8">
        <v>19</v>
      </c>
      <c r="H27" s="8">
        <v>0.85709999999999997</v>
      </c>
      <c r="I27" s="8">
        <v>0.65449999999999997</v>
      </c>
      <c r="J27" s="8">
        <v>0.74229999999999996</v>
      </c>
      <c r="L27">
        <f t="shared" ref="L23:L33" si="6">E27+F27</f>
        <v>33</v>
      </c>
      <c r="M27">
        <f t="shared" ref="M23:M33" si="7">E27+G27</f>
        <v>48</v>
      </c>
      <c r="N27">
        <f t="shared" ref="N23:N33" si="8">E27/(F27+E27)</f>
        <v>0.87878787878787878</v>
      </c>
      <c r="O27">
        <f t="shared" ref="O23:O33" si="9">E27/(E27+G27)</f>
        <v>0.60416666666666663</v>
      </c>
      <c r="P27">
        <f t="shared" ref="P23:P33" si="10">2*E27/(2*E27+F27+G27)</f>
        <v>0.71604938271604934</v>
      </c>
      <c r="Q27">
        <f t="shared" ref="Q23:Q33" si="11">E27/(E27+F27+G27)</f>
        <v>0.55769230769230771</v>
      </c>
    </row>
    <row r="28" spans="1:21" x14ac:dyDescent="0.3">
      <c r="A28" s="7" t="s">
        <v>12</v>
      </c>
      <c r="B28" s="7" t="s">
        <v>13</v>
      </c>
      <c r="C28" s="8">
        <v>68</v>
      </c>
      <c r="D28" s="8">
        <v>97</v>
      </c>
      <c r="E28" s="8">
        <v>57</v>
      </c>
      <c r="F28" s="8">
        <v>11</v>
      </c>
      <c r="G28" s="8">
        <v>40</v>
      </c>
      <c r="H28" s="8">
        <v>0.83950000000000002</v>
      </c>
      <c r="I28" s="8">
        <v>0.62960000000000005</v>
      </c>
      <c r="J28" s="8">
        <v>0.71950000000000003</v>
      </c>
      <c r="L28">
        <f t="shared" si="6"/>
        <v>68</v>
      </c>
      <c r="M28">
        <f t="shared" si="7"/>
        <v>97</v>
      </c>
      <c r="N28">
        <f t="shared" si="8"/>
        <v>0.83823529411764708</v>
      </c>
      <c r="O28">
        <f t="shared" si="9"/>
        <v>0.58762886597938147</v>
      </c>
      <c r="P28">
        <f t="shared" si="10"/>
        <v>0.69090909090909092</v>
      </c>
      <c r="Q28">
        <f t="shared" si="11"/>
        <v>0.52777777777777779</v>
      </c>
    </row>
    <row r="29" spans="1:21" x14ac:dyDescent="0.3">
      <c r="A29" s="7" t="s">
        <v>14</v>
      </c>
      <c r="B29" s="7" t="s">
        <v>15</v>
      </c>
      <c r="C29" s="8">
        <v>52</v>
      </c>
      <c r="D29" s="8">
        <v>77</v>
      </c>
      <c r="E29" s="8">
        <v>43</v>
      </c>
      <c r="F29" s="8">
        <v>9</v>
      </c>
      <c r="G29" s="8">
        <v>34</v>
      </c>
      <c r="H29" s="8">
        <v>0.82540000000000002</v>
      </c>
      <c r="I29" s="8">
        <v>0.60470000000000002</v>
      </c>
      <c r="J29" s="8">
        <v>0.69779999999999998</v>
      </c>
      <c r="L29">
        <f t="shared" si="6"/>
        <v>52</v>
      </c>
      <c r="M29">
        <f t="shared" si="7"/>
        <v>77</v>
      </c>
      <c r="N29">
        <f t="shared" si="8"/>
        <v>0.82692307692307687</v>
      </c>
      <c r="O29">
        <f t="shared" si="9"/>
        <v>0.55844155844155841</v>
      </c>
      <c r="P29">
        <f t="shared" si="10"/>
        <v>0.66666666666666663</v>
      </c>
      <c r="Q29">
        <f t="shared" si="11"/>
        <v>0.5</v>
      </c>
    </row>
    <row r="30" spans="1:21" x14ac:dyDescent="0.3">
      <c r="A30" s="7" t="s">
        <v>16</v>
      </c>
      <c r="B30" s="7" t="s">
        <v>17</v>
      </c>
      <c r="C30" s="8">
        <v>44</v>
      </c>
      <c r="D30" s="8">
        <v>69</v>
      </c>
      <c r="E30" s="8">
        <v>37</v>
      </c>
      <c r="F30" s="8">
        <v>7</v>
      </c>
      <c r="G30" s="8">
        <v>32</v>
      </c>
      <c r="H30" s="8">
        <v>0.82689999999999997</v>
      </c>
      <c r="I30" s="8">
        <v>0.57330000000000003</v>
      </c>
      <c r="J30" s="8">
        <v>0.67710000000000004</v>
      </c>
      <c r="L30">
        <f t="shared" si="6"/>
        <v>44</v>
      </c>
      <c r="M30">
        <f t="shared" si="7"/>
        <v>69</v>
      </c>
      <c r="N30">
        <f t="shared" si="8"/>
        <v>0.84090909090909094</v>
      </c>
      <c r="O30">
        <f t="shared" si="9"/>
        <v>0.53623188405797106</v>
      </c>
      <c r="P30">
        <f t="shared" si="10"/>
        <v>0.65486725663716816</v>
      </c>
      <c r="Q30">
        <f t="shared" si="11"/>
        <v>0.48684210526315791</v>
      </c>
    </row>
    <row r="31" spans="1:21" x14ac:dyDescent="0.3">
      <c r="A31" s="7" t="s">
        <v>18</v>
      </c>
      <c r="B31" s="7" t="s">
        <v>19</v>
      </c>
      <c r="C31" s="8">
        <v>95</v>
      </c>
      <c r="D31" s="8">
        <v>144</v>
      </c>
      <c r="E31" s="8">
        <v>79</v>
      </c>
      <c r="F31" s="8">
        <v>16</v>
      </c>
      <c r="G31" s="8">
        <v>65</v>
      </c>
      <c r="H31" s="8">
        <v>0.82689999999999997</v>
      </c>
      <c r="I31" s="8">
        <v>0.56950000000000001</v>
      </c>
      <c r="J31" s="8">
        <v>0.67300000000000004</v>
      </c>
      <c r="L31">
        <f t="shared" si="6"/>
        <v>95</v>
      </c>
      <c r="M31">
        <f t="shared" si="7"/>
        <v>144</v>
      </c>
      <c r="N31">
        <f t="shared" si="8"/>
        <v>0.83157894736842108</v>
      </c>
      <c r="O31">
        <f t="shared" si="9"/>
        <v>0.54861111111111116</v>
      </c>
      <c r="P31">
        <f t="shared" si="10"/>
        <v>0.66108786610878656</v>
      </c>
      <c r="Q31">
        <f t="shared" si="11"/>
        <v>0.49375000000000002</v>
      </c>
    </row>
    <row r="32" spans="1:21" x14ac:dyDescent="0.3">
      <c r="A32" s="7" t="s">
        <v>20</v>
      </c>
      <c r="B32" s="7" t="s">
        <v>21</v>
      </c>
      <c r="C32" s="8">
        <v>62</v>
      </c>
      <c r="D32" s="8">
        <v>87</v>
      </c>
      <c r="E32" s="8">
        <v>43</v>
      </c>
      <c r="F32" s="8">
        <v>19</v>
      </c>
      <c r="G32" s="8">
        <v>44</v>
      </c>
      <c r="H32" s="8">
        <v>0.81820000000000004</v>
      </c>
      <c r="I32" s="8">
        <v>0.55100000000000005</v>
      </c>
      <c r="J32" s="8">
        <v>0.65790000000000004</v>
      </c>
      <c r="L32">
        <f t="shared" si="6"/>
        <v>62</v>
      </c>
      <c r="M32">
        <f t="shared" si="7"/>
        <v>87</v>
      </c>
      <c r="N32">
        <f t="shared" si="8"/>
        <v>0.69354838709677424</v>
      </c>
      <c r="O32">
        <f t="shared" si="9"/>
        <v>0.4942528735632184</v>
      </c>
      <c r="P32">
        <f t="shared" si="10"/>
        <v>0.57718120805369133</v>
      </c>
      <c r="Q32">
        <f t="shared" si="11"/>
        <v>0.40566037735849059</v>
      </c>
    </row>
    <row r="33" spans="1:17" x14ac:dyDescent="0.3">
      <c r="A33" s="7" t="s">
        <v>22</v>
      </c>
      <c r="B33" s="7" t="s">
        <v>23</v>
      </c>
      <c r="C33" s="8">
        <v>97</v>
      </c>
      <c r="D33" s="8">
        <v>147</v>
      </c>
      <c r="E33" s="8">
        <v>76</v>
      </c>
      <c r="F33" s="8">
        <v>21</v>
      </c>
      <c r="G33" s="8">
        <v>71</v>
      </c>
      <c r="H33" s="8">
        <v>0.82179999999999997</v>
      </c>
      <c r="I33" s="8">
        <v>0.53890000000000005</v>
      </c>
      <c r="J33" s="8">
        <v>0.65059999999999996</v>
      </c>
      <c r="L33">
        <f t="shared" si="6"/>
        <v>97</v>
      </c>
      <c r="M33">
        <f t="shared" si="7"/>
        <v>147</v>
      </c>
      <c r="N33">
        <f t="shared" si="8"/>
        <v>0.78350515463917525</v>
      </c>
      <c r="O33">
        <f t="shared" si="9"/>
        <v>0.51700680272108845</v>
      </c>
      <c r="P33">
        <f t="shared" si="10"/>
        <v>0.62295081967213117</v>
      </c>
      <c r="Q33">
        <f t="shared" si="11"/>
        <v>0.45238095238095238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793D-263F-4136-9DB1-B64C4EA62949}">
  <dimension ref="A2:U33"/>
  <sheetViews>
    <sheetView topLeftCell="A11" workbookViewId="0">
      <selection activeCell="T25" sqref="T25"/>
    </sheetView>
  </sheetViews>
  <sheetFormatPr defaultRowHeight="14.4" x14ac:dyDescent="0.3"/>
  <sheetData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2</v>
      </c>
      <c r="M2" t="s">
        <v>3</v>
      </c>
      <c r="N2" s="6" t="s">
        <v>7</v>
      </c>
      <c r="O2" s="6" t="s">
        <v>8</v>
      </c>
      <c r="P2" s="6" t="s">
        <v>9</v>
      </c>
      <c r="Q2" s="6" t="s">
        <v>82</v>
      </c>
    </row>
    <row r="3" spans="1:21" x14ac:dyDescent="0.3">
      <c r="A3" t="s">
        <v>10</v>
      </c>
      <c r="B3" t="s">
        <v>11</v>
      </c>
      <c r="C3">
        <v>1307</v>
      </c>
      <c r="D3">
        <v>1339</v>
      </c>
      <c r="E3">
        <v>1199</v>
      </c>
      <c r="F3">
        <v>108</v>
      </c>
      <c r="G3">
        <v>140</v>
      </c>
      <c r="H3">
        <v>0.91269999999999996</v>
      </c>
      <c r="I3">
        <v>0.88980000000000004</v>
      </c>
      <c r="J3">
        <v>0.91100000000000003</v>
      </c>
      <c r="L3">
        <f>E3+F3</f>
        <v>1307</v>
      </c>
      <c r="M3">
        <f>E3+G3</f>
        <v>1339</v>
      </c>
      <c r="N3">
        <f>E3/(F3+E3)</f>
        <v>0.91736801836266257</v>
      </c>
      <c r="O3">
        <f>E3/(E3+G3)</f>
        <v>0.89544436146377893</v>
      </c>
      <c r="P3">
        <f>2*E3/(2*E3+F3+G3)</f>
        <v>0.9062736205593348</v>
      </c>
      <c r="Q3">
        <f>E3/(E3+F3+G3)</f>
        <v>0.82861091914305463</v>
      </c>
    </row>
    <row r="4" spans="1:21" x14ac:dyDescent="0.3">
      <c r="A4" t="s">
        <v>12</v>
      </c>
      <c r="B4" t="s">
        <v>13</v>
      </c>
      <c r="C4">
        <v>2364</v>
      </c>
      <c r="D4">
        <v>2420</v>
      </c>
      <c r="E4">
        <v>2125</v>
      </c>
      <c r="F4">
        <v>239</v>
      </c>
      <c r="G4">
        <v>295</v>
      </c>
      <c r="H4">
        <v>0.89900000000000002</v>
      </c>
      <c r="I4">
        <v>0.87809999999999999</v>
      </c>
      <c r="J4">
        <v>0.89900000000000002</v>
      </c>
      <c r="L4">
        <f t="shared" ref="L4:L22" si="0">E4+F4</f>
        <v>2364</v>
      </c>
      <c r="M4">
        <f t="shared" ref="M4:M22" si="1">E4+G4</f>
        <v>2420</v>
      </c>
      <c r="N4">
        <f t="shared" ref="N4:N22" si="2">E4/(F4+E4)</f>
        <v>0.8989001692047377</v>
      </c>
      <c r="O4">
        <f t="shared" ref="O4:O22" si="3">E4/(E4+G4)</f>
        <v>0.87809917355371903</v>
      </c>
      <c r="P4">
        <f t="shared" ref="P4:P22" si="4">2*E4/(2*E4+F4+G4)</f>
        <v>0.88837792642140467</v>
      </c>
      <c r="Q4">
        <f t="shared" ref="Q4:Q22" si="5">E4/(E4+F4+G4)</f>
        <v>0.79917262128619782</v>
      </c>
    </row>
    <row r="5" spans="1:21" x14ac:dyDescent="0.3">
      <c r="A5" t="s">
        <v>14</v>
      </c>
      <c r="B5" t="s">
        <v>15</v>
      </c>
      <c r="C5">
        <v>2332</v>
      </c>
      <c r="D5">
        <v>2397</v>
      </c>
      <c r="E5">
        <v>1905</v>
      </c>
      <c r="F5">
        <v>427</v>
      </c>
      <c r="G5">
        <v>492</v>
      </c>
      <c r="H5">
        <v>0.81020000000000003</v>
      </c>
      <c r="I5">
        <v>0.78749999999999998</v>
      </c>
      <c r="J5">
        <v>0.81</v>
      </c>
      <c r="L5">
        <f t="shared" si="0"/>
        <v>2332</v>
      </c>
      <c r="M5">
        <f t="shared" si="1"/>
        <v>2397</v>
      </c>
      <c r="N5">
        <f t="shared" si="2"/>
        <v>0.81689536878216118</v>
      </c>
      <c r="O5">
        <f t="shared" si="3"/>
        <v>0.79474342928660824</v>
      </c>
      <c r="P5">
        <f t="shared" si="4"/>
        <v>0.80566716007612604</v>
      </c>
      <c r="Q5">
        <f t="shared" si="5"/>
        <v>0.67457507082152979</v>
      </c>
    </row>
    <row r="6" spans="1:21" x14ac:dyDescent="0.3">
      <c r="A6" t="s">
        <v>16</v>
      </c>
      <c r="B6" t="s">
        <v>17</v>
      </c>
      <c r="C6">
        <v>1368</v>
      </c>
      <c r="D6">
        <v>1425</v>
      </c>
      <c r="E6">
        <v>1196</v>
      </c>
      <c r="F6">
        <v>172</v>
      </c>
      <c r="G6">
        <v>229</v>
      </c>
      <c r="H6">
        <v>0.86109999999999998</v>
      </c>
      <c r="I6">
        <v>0.82279999999999998</v>
      </c>
      <c r="J6">
        <v>0.86099999999999999</v>
      </c>
      <c r="L6">
        <f t="shared" si="0"/>
        <v>1368</v>
      </c>
      <c r="M6">
        <f t="shared" si="1"/>
        <v>1425</v>
      </c>
      <c r="N6">
        <f t="shared" si="2"/>
        <v>0.8742690058479532</v>
      </c>
      <c r="O6">
        <f t="shared" si="3"/>
        <v>0.8392982456140351</v>
      </c>
      <c r="P6">
        <f t="shared" si="4"/>
        <v>0.85642678123881133</v>
      </c>
      <c r="Q6">
        <f t="shared" si="5"/>
        <v>0.74890419536631181</v>
      </c>
    </row>
    <row r="7" spans="1:21" x14ac:dyDescent="0.3">
      <c r="A7" t="s">
        <v>18</v>
      </c>
      <c r="B7" t="s">
        <v>19</v>
      </c>
      <c r="C7">
        <v>3922</v>
      </c>
      <c r="D7">
        <v>4035</v>
      </c>
      <c r="E7">
        <v>3281</v>
      </c>
      <c r="F7">
        <v>641</v>
      </c>
      <c r="G7">
        <v>754</v>
      </c>
      <c r="H7">
        <v>0.84730000000000005</v>
      </c>
      <c r="I7">
        <v>0.82489999999999997</v>
      </c>
      <c r="J7">
        <v>0.82399999999999995</v>
      </c>
      <c r="L7">
        <f t="shared" si="0"/>
        <v>3922</v>
      </c>
      <c r="M7">
        <f t="shared" si="1"/>
        <v>4035</v>
      </c>
      <c r="N7">
        <f t="shared" si="2"/>
        <v>0.83656297807241209</v>
      </c>
      <c r="O7">
        <f t="shared" si="3"/>
        <v>0.81313506815365555</v>
      </c>
      <c r="P7">
        <f t="shared" si="4"/>
        <v>0.82468266934774415</v>
      </c>
      <c r="Q7">
        <f t="shared" si="5"/>
        <v>0.70166809238665528</v>
      </c>
    </row>
    <row r="8" spans="1:21" x14ac:dyDescent="0.3">
      <c r="A8" t="s">
        <v>20</v>
      </c>
      <c r="B8" t="s">
        <v>21</v>
      </c>
      <c r="C8">
        <v>2397</v>
      </c>
      <c r="D8">
        <v>2467</v>
      </c>
      <c r="E8">
        <v>1962</v>
      </c>
      <c r="F8">
        <v>435</v>
      </c>
      <c r="G8">
        <v>505</v>
      </c>
      <c r="H8">
        <v>0.80669999999999997</v>
      </c>
      <c r="I8">
        <v>0.78280000000000005</v>
      </c>
      <c r="J8">
        <v>0.80700000000000005</v>
      </c>
      <c r="L8">
        <f t="shared" si="0"/>
        <v>2397</v>
      </c>
      <c r="M8">
        <f t="shared" si="1"/>
        <v>2467</v>
      </c>
      <c r="N8">
        <f t="shared" si="2"/>
        <v>0.81852315394242803</v>
      </c>
      <c r="O8">
        <f t="shared" si="3"/>
        <v>0.79529793271179572</v>
      </c>
      <c r="P8">
        <f t="shared" si="4"/>
        <v>0.80674342105263153</v>
      </c>
      <c r="Q8">
        <f t="shared" si="5"/>
        <v>0.67608545830461753</v>
      </c>
    </row>
    <row r="9" spans="1:21" x14ac:dyDescent="0.3">
      <c r="A9" t="s">
        <v>22</v>
      </c>
      <c r="B9" t="s">
        <v>23</v>
      </c>
      <c r="C9">
        <v>4414</v>
      </c>
      <c r="D9">
        <v>4532</v>
      </c>
      <c r="E9">
        <v>3527</v>
      </c>
      <c r="F9">
        <v>887</v>
      </c>
      <c r="G9">
        <v>1005</v>
      </c>
      <c r="H9">
        <v>0.78859999999999997</v>
      </c>
      <c r="I9">
        <v>0.76719999999999999</v>
      </c>
      <c r="J9">
        <v>0.78900000000000003</v>
      </c>
      <c r="L9">
        <f t="shared" si="0"/>
        <v>4414</v>
      </c>
      <c r="M9">
        <f t="shared" si="1"/>
        <v>4532</v>
      </c>
      <c r="N9">
        <f t="shared" si="2"/>
        <v>0.79904848210240143</v>
      </c>
      <c r="O9">
        <f t="shared" si="3"/>
        <v>0.77824360105913504</v>
      </c>
      <c r="P9">
        <f t="shared" si="4"/>
        <v>0.7885088307623519</v>
      </c>
      <c r="Q9">
        <f t="shared" si="5"/>
        <v>0.65085809189887434</v>
      </c>
    </row>
    <row r="10" spans="1:21" x14ac:dyDescent="0.3">
      <c r="A10" t="s">
        <v>24</v>
      </c>
      <c r="B10" t="s">
        <v>25</v>
      </c>
      <c r="C10">
        <v>3802</v>
      </c>
      <c r="D10">
        <v>3879</v>
      </c>
      <c r="E10">
        <v>3355</v>
      </c>
      <c r="F10">
        <v>447</v>
      </c>
      <c r="G10">
        <v>524</v>
      </c>
      <c r="H10">
        <v>0.87309999999999999</v>
      </c>
      <c r="I10">
        <v>0.85440000000000005</v>
      </c>
      <c r="J10">
        <v>0.874</v>
      </c>
      <c r="L10">
        <f t="shared" si="0"/>
        <v>3802</v>
      </c>
      <c r="M10">
        <f t="shared" si="1"/>
        <v>3879</v>
      </c>
      <c r="N10">
        <f t="shared" si="2"/>
        <v>0.88243029984218835</v>
      </c>
      <c r="O10">
        <f t="shared" si="3"/>
        <v>0.86491363753544726</v>
      </c>
      <c r="P10">
        <f t="shared" si="4"/>
        <v>0.87358416872803024</v>
      </c>
      <c r="Q10">
        <f t="shared" si="5"/>
        <v>0.7755432269995377</v>
      </c>
    </row>
    <row r="11" spans="1:21" x14ac:dyDescent="0.3">
      <c r="A11" t="s">
        <v>26</v>
      </c>
      <c r="B11" t="s">
        <v>27</v>
      </c>
      <c r="C11">
        <v>6434</v>
      </c>
      <c r="D11">
        <v>6559</v>
      </c>
      <c r="E11">
        <v>5118</v>
      </c>
      <c r="F11">
        <v>1316</v>
      </c>
      <c r="G11">
        <v>1441</v>
      </c>
      <c r="H11">
        <v>0.78690000000000004</v>
      </c>
      <c r="I11">
        <v>0.77129999999999999</v>
      </c>
      <c r="J11">
        <v>0.78700000000000003</v>
      </c>
      <c r="L11">
        <f t="shared" si="0"/>
        <v>6434</v>
      </c>
      <c r="M11">
        <f t="shared" si="1"/>
        <v>6559</v>
      </c>
      <c r="N11">
        <f t="shared" si="2"/>
        <v>0.79546161019583461</v>
      </c>
      <c r="O11">
        <f t="shared" si="3"/>
        <v>0.7803018752858667</v>
      </c>
      <c r="P11">
        <f t="shared" si="4"/>
        <v>0.78780882013391829</v>
      </c>
      <c r="Q11">
        <f t="shared" si="5"/>
        <v>0.64990476190476187</v>
      </c>
    </row>
    <row r="12" spans="1:21" x14ac:dyDescent="0.3">
      <c r="A12" t="s">
        <v>28</v>
      </c>
      <c r="B12" t="s">
        <v>29</v>
      </c>
      <c r="C12">
        <v>3694</v>
      </c>
      <c r="D12">
        <v>3786</v>
      </c>
      <c r="E12">
        <v>2965</v>
      </c>
      <c r="F12">
        <v>729</v>
      </c>
      <c r="G12">
        <v>821</v>
      </c>
      <c r="H12">
        <v>0.79290000000000005</v>
      </c>
      <c r="I12">
        <v>0.77290000000000003</v>
      </c>
      <c r="J12">
        <v>0.79300000000000004</v>
      </c>
      <c r="L12">
        <f t="shared" si="0"/>
        <v>3694</v>
      </c>
      <c r="M12">
        <f t="shared" si="1"/>
        <v>3786</v>
      </c>
      <c r="N12">
        <f t="shared" si="2"/>
        <v>0.80265295073091503</v>
      </c>
      <c r="O12">
        <f t="shared" si="3"/>
        <v>0.783148441627047</v>
      </c>
      <c r="P12">
        <f t="shared" si="4"/>
        <v>0.79278074866310155</v>
      </c>
      <c r="Q12">
        <f t="shared" si="5"/>
        <v>0.6566998892580288</v>
      </c>
    </row>
    <row r="13" spans="1:21" x14ac:dyDescent="0.3">
      <c r="A13" t="s">
        <v>30</v>
      </c>
      <c r="B13" t="s">
        <v>31</v>
      </c>
      <c r="C13">
        <v>6475</v>
      </c>
      <c r="D13">
        <v>6650</v>
      </c>
      <c r="E13">
        <v>4979</v>
      </c>
      <c r="F13">
        <v>1496</v>
      </c>
      <c r="G13">
        <v>1671</v>
      </c>
      <c r="H13">
        <v>0.75800000000000001</v>
      </c>
      <c r="I13">
        <v>0.73699999999999999</v>
      </c>
      <c r="J13">
        <v>0.75800000000000001</v>
      </c>
      <c r="L13">
        <f t="shared" si="0"/>
        <v>6475</v>
      </c>
      <c r="M13">
        <f t="shared" si="1"/>
        <v>6650</v>
      </c>
      <c r="N13">
        <f t="shared" si="2"/>
        <v>0.768957528957529</v>
      </c>
      <c r="O13">
        <f t="shared" si="3"/>
        <v>0.74872180451127823</v>
      </c>
      <c r="P13">
        <f t="shared" si="4"/>
        <v>0.75870476190476188</v>
      </c>
      <c r="Q13">
        <f t="shared" si="5"/>
        <v>0.61122023078811683</v>
      </c>
    </row>
    <row r="14" spans="1:21" x14ac:dyDescent="0.3">
      <c r="A14" t="s">
        <v>78</v>
      </c>
    </row>
    <row r="15" spans="1:21" ht="28.8" x14ac:dyDescent="0.3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9</v>
      </c>
    </row>
    <row r="16" spans="1:21" x14ac:dyDescent="0.3">
      <c r="A16" s="7" t="s">
        <v>10</v>
      </c>
      <c r="B16" s="7" t="s">
        <v>11</v>
      </c>
      <c r="C16" s="7">
        <v>8531</v>
      </c>
      <c r="D16" s="7">
        <v>8265</v>
      </c>
      <c r="E16" s="7">
        <v>7724</v>
      </c>
      <c r="F16" s="7">
        <v>807</v>
      </c>
      <c r="G16" s="7">
        <v>541</v>
      </c>
      <c r="H16" s="7">
        <v>0.90539999999999998</v>
      </c>
      <c r="I16" s="7">
        <v>0.9345</v>
      </c>
      <c r="J16" s="7">
        <v>0.91969999999999996</v>
      </c>
      <c r="L16">
        <f t="shared" si="0"/>
        <v>8531</v>
      </c>
      <c r="M16">
        <f t="shared" si="1"/>
        <v>8265</v>
      </c>
      <c r="N16">
        <f t="shared" si="2"/>
        <v>0.90540382135740238</v>
      </c>
      <c r="O16">
        <f t="shared" si="3"/>
        <v>0.93454325468844524</v>
      </c>
      <c r="P16">
        <f t="shared" si="4"/>
        <v>0.9197427959037866</v>
      </c>
      <c r="Q16">
        <f t="shared" si="5"/>
        <v>0.8514109347442681</v>
      </c>
      <c r="R16">
        <v>0.9062736205593348</v>
      </c>
      <c r="S16">
        <v>0.82861091914305463</v>
      </c>
      <c r="T16">
        <v>0.80764104842292317</v>
      </c>
      <c r="U16">
        <v>0.67734724292101345</v>
      </c>
    </row>
    <row r="17" spans="1:21" x14ac:dyDescent="0.3">
      <c r="A17" s="7" t="s">
        <v>12</v>
      </c>
      <c r="B17" s="7" t="s">
        <v>13</v>
      </c>
      <c r="C17" s="7">
        <v>15496</v>
      </c>
      <c r="D17" s="7">
        <v>14982</v>
      </c>
      <c r="E17" s="7">
        <v>13785</v>
      </c>
      <c r="F17" s="7">
        <v>1711</v>
      </c>
      <c r="G17" s="7">
        <v>1197</v>
      </c>
      <c r="H17" s="7">
        <v>0.88959999999999995</v>
      </c>
      <c r="I17" s="7">
        <v>0.92010000000000003</v>
      </c>
      <c r="J17" s="7">
        <v>0.90459999999999996</v>
      </c>
      <c r="L17">
        <f t="shared" si="0"/>
        <v>15496</v>
      </c>
      <c r="M17">
        <f t="shared" si="1"/>
        <v>14982</v>
      </c>
      <c r="N17">
        <f t="shared" si="2"/>
        <v>0.88958440887971091</v>
      </c>
      <c r="O17">
        <f t="shared" si="3"/>
        <v>0.92010412494993998</v>
      </c>
      <c r="P17">
        <f t="shared" ref="P17:P33" si="6">2*E17/(2*E17+F17+G17)</f>
        <v>0.90458691515191281</v>
      </c>
      <c r="Q17">
        <f t="shared" ref="Q17:Q33" si="7">E17/(E17+F17+G17)</f>
        <v>0.82579524351524591</v>
      </c>
      <c r="R17">
        <v>0.88837792642140467</v>
      </c>
      <c r="S17">
        <v>0.79917262128619782</v>
      </c>
      <c r="T17">
        <v>0.78646253021756651</v>
      </c>
      <c r="U17">
        <v>0.64807436918990702</v>
      </c>
    </row>
    <row r="18" spans="1:21" x14ac:dyDescent="0.3">
      <c r="A18" s="7" t="s">
        <v>14</v>
      </c>
      <c r="B18" s="7" t="s">
        <v>15</v>
      </c>
      <c r="C18" s="7">
        <v>15128</v>
      </c>
      <c r="D18" s="7">
        <v>14603</v>
      </c>
      <c r="E18" s="7">
        <v>12463</v>
      </c>
      <c r="F18" s="7">
        <v>2665</v>
      </c>
      <c r="G18" s="7">
        <v>2140</v>
      </c>
      <c r="H18" s="7">
        <v>0.82369999999999999</v>
      </c>
      <c r="I18" s="7">
        <v>0.85350000000000004</v>
      </c>
      <c r="J18" s="7">
        <v>0.83830000000000005</v>
      </c>
      <c r="L18">
        <f t="shared" si="0"/>
        <v>15128</v>
      </c>
      <c r="M18">
        <f t="shared" si="1"/>
        <v>14603</v>
      </c>
      <c r="N18">
        <f t="shared" si="2"/>
        <v>0.8238365943945003</v>
      </c>
      <c r="O18">
        <f t="shared" si="3"/>
        <v>0.85345476956789701</v>
      </c>
      <c r="P18">
        <f t="shared" si="6"/>
        <v>0.83838417813057076</v>
      </c>
      <c r="Q18">
        <f t="shared" si="7"/>
        <v>0.72173963400509611</v>
      </c>
      <c r="R18">
        <v>0.80566716007612604</v>
      </c>
      <c r="S18">
        <v>0.67457507082152979</v>
      </c>
      <c r="T18">
        <v>0.74619695756605287</v>
      </c>
      <c r="U18">
        <v>0.59514687100893993</v>
      </c>
    </row>
    <row r="19" spans="1:21" x14ac:dyDescent="0.3">
      <c r="A19" s="7" t="s">
        <v>16</v>
      </c>
      <c r="B19" s="7" t="s">
        <v>17</v>
      </c>
      <c r="C19" s="7">
        <v>9021</v>
      </c>
      <c r="D19" s="7">
        <v>8629</v>
      </c>
      <c r="E19" s="7">
        <v>7756</v>
      </c>
      <c r="F19" s="7">
        <v>1265</v>
      </c>
      <c r="G19" s="7">
        <v>873</v>
      </c>
      <c r="H19" s="7">
        <v>0.85980000000000001</v>
      </c>
      <c r="I19" s="7">
        <v>0.89890000000000003</v>
      </c>
      <c r="J19" s="7">
        <v>0.87890000000000001</v>
      </c>
      <c r="L19">
        <f t="shared" si="0"/>
        <v>9021</v>
      </c>
      <c r="M19">
        <f t="shared" si="1"/>
        <v>8629</v>
      </c>
      <c r="N19">
        <f t="shared" si="2"/>
        <v>0.8597716439419133</v>
      </c>
      <c r="O19">
        <f t="shared" si="3"/>
        <v>0.89882952833468532</v>
      </c>
      <c r="P19">
        <f t="shared" si="6"/>
        <v>0.87886685552407928</v>
      </c>
      <c r="Q19">
        <f t="shared" si="7"/>
        <v>0.78390944006468566</v>
      </c>
      <c r="R19">
        <v>0.85642678123881133</v>
      </c>
      <c r="S19">
        <v>0.74890419536631181</v>
      </c>
      <c r="T19">
        <v>0.73899999999999999</v>
      </c>
      <c r="U19">
        <v>0.58604282315622525</v>
      </c>
    </row>
    <row r="20" spans="1:21" x14ac:dyDescent="0.3">
      <c r="A20" s="7" t="s">
        <v>18</v>
      </c>
      <c r="B20" s="7" t="s">
        <v>19</v>
      </c>
      <c r="C20" s="7">
        <v>25036</v>
      </c>
      <c r="D20" s="7">
        <v>24211</v>
      </c>
      <c r="E20" s="7">
        <v>21348</v>
      </c>
      <c r="F20" s="7">
        <v>3688</v>
      </c>
      <c r="G20" s="7">
        <v>2863</v>
      </c>
      <c r="H20" s="7">
        <v>0.85270000000000001</v>
      </c>
      <c r="I20" s="7">
        <v>0.88180000000000003</v>
      </c>
      <c r="J20" s="7">
        <v>0.8669</v>
      </c>
      <c r="L20">
        <f t="shared" si="0"/>
        <v>25036</v>
      </c>
      <c r="M20">
        <f t="shared" si="1"/>
        <v>24211</v>
      </c>
      <c r="N20">
        <f t="shared" si="2"/>
        <v>0.85269212334238698</v>
      </c>
      <c r="O20">
        <f t="shared" si="3"/>
        <v>0.88174796580066916</v>
      </c>
      <c r="P20">
        <f t="shared" si="6"/>
        <v>0.86697666862956124</v>
      </c>
      <c r="Q20">
        <f t="shared" si="7"/>
        <v>0.76518871644144948</v>
      </c>
      <c r="R20">
        <v>0.82468266934774415</v>
      </c>
      <c r="S20">
        <v>0.70166809238665528</v>
      </c>
      <c r="T20">
        <v>0.76848406406730307</v>
      </c>
      <c r="U20">
        <v>0.62401471361008931</v>
      </c>
    </row>
    <row r="21" spans="1:21" x14ac:dyDescent="0.3">
      <c r="A21" s="7" t="s">
        <v>20</v>
      </c>
      <c r="B21" s="7" t="s">
        <v>21</v>
      </c>
      <c r="C21" s="7">
        <v>15469</v>
      </c>
      <c r="D21" s="7">
        <v>14871</v>
      </c>
      <c r="E21" s="7">
        <v>12902</v>
      </c>
      <c r="F21" s="7">
        <v>2567</v>
      </c>
      <c r="G21" s="7">
        <v>1969</v>
      </c>
      <c r="H21" s="7">
        <v>0.83409999999999995</v>
      </c>
      <c r="I21" s="7">
        <v>0.86760000000000004</v>
      </c>
      <c r="J21" s="7">
        <v>0.85060000000000002</v>
      </c>
      <c r="L21">
        <f t="shared" si="0"/>
        <v>15469</v>
      </c>
      <c r="M21">
        <f t="shared" si="1"/>
        <v>14871</v>
      </c>
      <c r="N21">
        <f t="shared" si="2"/>
        <v>0.83405520718857074</v>
      </c>
      <c r="O21">
        <f t="shared" si="3"/>
        <v>0.86759464730011426</v>
      </c>
      <c r="P21">
        <f t="shared" si="6"/>
        <v>0.85049439683586026</v>
      </c>
      <c r="Q21">
        <f t="shared" si="7"/>
        <v>0.73987842642504875</v>
      </c>
      <c r="R21">
        <v>0.80674342105263153</v>
      </c>
      <c r="S21">
        <v>0.67608545830461753</v>
      </c>
      <c r="T21">
        <v>0.76992481203007523</v>
      </c>
      <c r="U21">
        <v>0.62591687041564792</v>
      </c>
    </row>
    <row r="22" spans="1:21" x14ac:dyDescent="0.3">
      <c r="A22" s="7" t="s">
        <v>22</v>
      </c>
      <c r="B22" s="7" t="s">
        <v>23</v>
      </c>
      <c r="C22" s="7">
        <v>28219</v>
      </c>
      <c r="D22" s="7">
        <v>27341</v>
      </c>
      <c r="E22" s="7">
        <v>23798</v>
      </c>
      <c r="F22" s="7">
        <v>4421</v>
      </c>
      <c r="G22" s="7">
        <v>3543</v>
      </c>
      <c r="H22" s="7">
        <v>0.84340000000000004</v>
      </c>
      <c r="I22" s="7">
        <v>0.87039999999999995</v>
      </c>
      <c r="J22" s="7">
        <v>0.85670000000000002</v>
      </c>
      <c r="L22">
        <f t="shared" si="0"/>
        <v>28219</v>
      </c>
      <c r="M22">
        <f t="shared" si="1"/>
        <v>27341</v>
      </c>
      <c r="N22">
        <f t="shared" si="2"/>
        <v>0.84333250646727387</v>
      </c>
      <c r="O22">
        <f t="shared" si="3"/>
        <v>0.87041439596210823</v>
      </c>
      <c r="P22">
        <f t="shared" si="6"/>
        <v>0.85665946724262054</v>
      </c>
      <c r="Q22">
        <f t="shared" si="7"/>
        <v>0.7492601221585542</v>
      </c>
      <c r="R22">
        <v>0.7885088307623519</v>
      </c>
      <c r="S22">
        <v>0.65085809189887434</v>
      </c>
      <c r="T22">
        <v>0.72662192393736014</v>
      </c>
      <c r="U22">
        <v>0.57062543921293041</v>
      </c>
    </row>
    <row r="25" spans="1:21" ht="28.8" x14ac:dyDescent="0.3">
      <c r="A25" s="7" t="s">
        <v>80</v>
      </c>
    </row>
    <row r="26" spans="1:21" ht="28.8" x14ac:dyDescent="0.3">
      <c r="A26" s="6" t="s">
        <v>0</v>
      </c>
      <c r="B26" s="6" t="s">
        <v>1</v>
      </c>
      <c r="C26" s="9" t="s">
        <v>2</v>
      </c>
      <c r="D26" s="9" t="s">
        <v>3</v>
      </c>
      <c r="E26" s="9" t="s">
        <v>4</v>
      </c>
      <c r="F26" s="9" t="s">
        <v>5</v>
      </c>
      <c r="G26" s="9" t="s">
        <v>6</v>
      </c>
      <c r="H26" s="9" t="s">
        <v>7</v>
      </c>
      <c r="I26" s="9" t="s">
        <v>8</v>
      </c>
      <c r="J26" s="9" t="s">
        <v>9</v>
      </c>
    </row>
    <row r="27" spans="1:21" x14ac:dyDescent="0.3">
      <c r="A27" s="7" t="s">
        <v>81</v>
      </c>
      <c r="B27" s="7" t="s">
        <v>11</v>
      </c>
      <c r="C27" s="8">
        <v>996</v>
      </c>
      <c r="D27" s="8">
        <v>1255</v>
      </c>
      <c r="E27" s="8">
        <v>909</v>
      </c>
      <c r="F27" s="8">
        <v>87</v>
      </c>
      <c r="G27" s="8">
        <v>346</v>
      </c>
      <c r="H27" s="8">
        <v>0.91390000000000005</v>
      </c>
      <c r="I27" s="8">
        <v>0.73960000000000004</v>
      </c>
      <c r="J27" s="8">
        <v>0.8175</v>
      </c>
      <c r="L27">
        <f t="shared" ref="L23:L33" si="8">E27+F27</f>
        <v>996</v>
      </c>
      <c r="M27">
        <f t="shared" ref="M27:M33" si="9">E27+G27</f>
        <v>1255</v>
      </c>
      <c r="N27">
        <f t="shared" ref="N23:N33" si="10">E27/(F27+E27)</f>
        <v>0.91265060240963858</v>
      </c>
      <c r="O27">
        <f t="shared" ref="O23:O33" si="11">E27/(E27+G27)</f>
        <v>0.72430278884462151</v>
      </c>
      <c r="P27">
        <f t="shared" si="6"/>
        <v>0.80764104842292317</v>
      </c>
      <c r="Q27">
        <f t="shared" si="7"/>
        <v>0.67734724292101345</v>
      </c>
    </row>
    <row r="28" spans="1:21" x14ac:dyDescent="0.3">
      <c r="A28" s="7" t="s">
        <v>12</v>
      </c>
      <c r="B28" s="7" t="s">
        <v>13</v>
      </c>
      <c r="C28" s="8">
        <v>1625</v>
      </c>
      <c r="D28" s="8">
        <v>2098</v>
      </c>
      <c r="E28" s="8">
        <v>1464</v>
      </c>
      <c r="F28" s="8">
        <v>161</v>
      </c>
      <c r="G28" s="8">
        <v>634</v>
      </c>
      <c r="H28" s="8">
        <v>0.90880000000000005</v>
      </c>
      <c r="I28" s="8">
        <v>0.73529999999999995</v>
      </c>
      <c r="J28" s="8">
        <v>0.81289999999999996</v>
      </c>
      <c r="L28">
        <f t="shared" si="8"/>
        <v>1625</v>
      </c>
      <c r="M28">
        <f t="shared" si="9"/>
        <v>2098</v>
      </c>
      <c r="N28">
        <f t="shared" si="10"/>
        <v>0.90092307692307694</v>
      </c>
      <c r="O28">
        <f t="shared" si="11"/>
        <v>0.69780743565300285</v>
      </c>
      <c r="P28">
        <f t="shared" si="6"/>
        <v>0.78646253021756651</v>
      </c>
      <c r="Q28">
        <f t="shared" si="7"/>
        <v>0.64807436918990702</v>
      </c>
    </row>
    <row r="29" spans="1:21" x14ac:dyDescent="0.3">
      <c r="A29" s="7" t="s">
        <v>14</v>
      </c>
      <c r="B29" s="7" t="s">
        <v>15</v>
      </c>
      <c r="C29" s="8">
        <v>1550</v>
      </c>
      <c r="D29" s="8">
        <v>2197</v>
      </c>
      <c r="E29" s="8">
        <v>1398</v>
      </c>
      <c r="F29" s="8">
        <v>152</v>
      </c>
      <c r="G29" s="8">
        <v>799</v>
      </c>
      <c r="H29" s="8">
        <v>0.90069999999999995</v>
      </c>
      <c r="I29" s="8">
        <v>0.66679999999999995</v>
      </c>
      <c r="J29" s="8">
        <v>0.7651</v>
      </c>
      <c r="L29">
        <f t="shared" si="8"/>
        <v>1550</v>
      </c>
      <c r="M29">
        <f t="shared" si="9"/>
        <v>2197</v>
      </c>
      <c r="N29">
        <f t="shared" si="10"/>
        <v>0.90193548387096778</v>
      </c>
      <c r="O29">
        <f t="shared" si="11"/>
        <v>0.63632225762403272</v>
      </c>
      <c r="P29">
        <f t="shared" si="6"/>
        <v>0.74619695756605287</v>
      </c>
      <c r="Q29">
        <f t="shared" si="7"/>
        <v>0.59514687100893993</v>
      </c>
    </row>
    <row r="30" spans="1:21" x14ac:dyDescent="0.3">
      <c r="A30" s="7" t="s">
        <v>16</v>
      </c>
      <c r="B30" s="7" t="s">
        <v>17</v>
      </c>
      <c r="C30" s="8">
        <v>842</v>
      </c>
      <c r="D30" s="8">
        <v>1158</v>
      </c>
      <c r="E30" s="8">
        <v>739</v>
      </c>
      <c r="F30" s="8">
        <v>103</v>
      </c>
      <c r="G30" s="8">
        <v>419</v>
      </c>
      <c r="H30" s="8">
        <v>0.89900000000000002</v>
      </c>
      <c r="I30" s="8">
        <v>0.70669999999999999</v>
      </c>
      <c r="J30" s="8">
        <v>0.79110000000000003</v>
      </c>
      <c r="L30">
        <f t="shared" si="8"/>
        <v>842</v>
      </c>
      <c r="M30">
        <f t="shared" si="9"/>
        <v>1158</v>
      </c>
      <c r="N30">
        <f t="shared" si="10"/>
        <v>0.8776722090261283</v>
      </c>
      <c r="O30">
        <f t="shared" si="11"/>
        <v>0.63816925734024177</v>
      </c>
      <c r="P30">
        <f t="shared" si="6"/>
        <v>0.73899999999999999</v>
      </c>
      <c r="Q30">
        <f t="shared" si="7"/>
        <v>0.58604282315622525</v>
      </c>
    </row>
    <row r="31" spans="1:21" x14ac:dyDescent="0.3">
      <c r="A31" s="7" t="s">
        <v>18</v>
      </c>
      <c r="B31" s="7" t="s">
        <v>19</v>
      </c>
      <c r="C31" s="8">
        <v>2646</v>
      </c>
      <c r="D31" s="8">
        <v>3535</v>
      </c>
      <c r="E31" s="8">
        <v>2375</v>
      </c>
      <c r="F31" s="8">
        <v>271</v>
      </c>
      <c r="G31" s="8">
        <v>1160</v>
      </c>
      <c r="H31" s="8">
        <v>0.90210000000000001</v>
      </c>
      <c r="I31" s="8">
        <v>0.71250000000000002</v>
      </c>
      <c r="J31" s="8">
        <v>0.7964</v>
      </c>
      <c r="L31">
        <f t="shared" si="8"/>
        <v>2646</v>
      </c>
      <c r="M31">
        <f t="shared" si="9"/>
        <v>3535</v>
      </c>
      <c r="N31">
        <f t="shared" si="10"/>
        <v>0.89758125472411188</v>
      </c>
      <c r="O31">
        <f t="shared" si="11"/>
        <v>0.67185289957567185</v>
      </c>
      <c r="P31">
        <f t="shared" si="6"/>
        <v>0.76848406406730307</v>
      </c>
      <c r="Q31">
        <f t="shared" si="7"/>
        <v>0.62401471361008931</v>
      </c>
    </row>
    <row r="32" spans="1:21" x14ac:dyDescent="0.3">
      <c r="A32" s="7" t="s">
        <v>20</v>
      </c>
      <c r="B32" s="7" t="s">
        <v>21</v>
      </c>
      <c r="C32" s="8">
        <v>1723</v>
      </c>
      <c r="D32" s="8">
        <v>2267</v>
      </c>
      <c r="E32" s="8">
        <v>1536</v>
      </c>
      <c r="F32" s="8">
        <v>187</v>
      </c>
      <c r="G32" s="8">
        <v>731</v>
      </c>
      <c r="H32" s="8">
        <v>0.89259999999999995</v>
      </c>
      <c r="I32" s="8">
        <v>0.7036</v>
      </c>
      <c r="J32" s="8">
        <v>0.78669999999999995</v>
      </c>
      <c r="L32">
        <f t="shared" si="8"/>
        <v>1723</v>
      </c>
      <c r="M32">
        <f t="shared" si="9"/>
        <v>2267</v>
      </c>
      <c r="N32">
        <f t="shared" si="10"/>
        <v>0.8914683691236216</v>
      </c>
      <c r="O32">
        <f t="shared" si="11"/>
        <v>0.67754741949713282</v>
      </c>
      <c r="P32">
        <f t="shared" si="6"/>
        <v>0.76992481203007523</v>
      </c>
      <c r="Q32">
        <f t="shared" si="7"/>
        <v>0.62591687041564792</v>
      </c>
    </row>
    <row r="33" spans="1:17" x14ac:dyDescent="0.3">
      <c r="A33" s="7" t="s">
        <v>22</v>
      </c>
      <c r="B33" s="7" t="s">
        <v>23</v>
      </c>
      <c r="C33" s="8">
        <v>2827</v>
      </c>
      <c r="D33" s="8">
        <v>3878</v>
      </c>
      <c r="E33" s="8">
        <v>2436</v>
      </c>
      <c r="F33" s="8">
        <v>391</v>
      </c>
      <c r="G33" s="8">
        <v>1442</v>
      </c>
      <c r="H33" s="8">
        <v>0.88260000000000005</v>
      </c>
      <c r="I33" s="8">
        <v>0.68169999999999997</v>
      </c>
      <c r="J33" s="8">
        <v>0.76910000000000001</v>
      </c>
      <c r="L33">
        <f t="shared" si="8"/>
        <v>2827</v>
      </c>
      <c r="M33">
        <f t="shared" si="9"/>
        <v>3878</v>
      </c>
      <c r="N33">
        <f t="shared" si="10"/>
        <v>0.86169083834453486</v>
      </c>
      <c r="O33">
        <f t="shared" si="11"/>
        <v>0.62815884476534301</v>
      </c>
      <c r="P33">
        <f t="shared" si="6"/>
        <v>0.72662192393736014</v>
      </c>
      <c r="Q33">
        <f t="shared" si="7"/>
        <v>0.57062543921293041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0A6A-1040-4076-9C81-2FA8B37AFF0E}">
  <dimension ref="A1:K56"/>
  <sheetViews>
    <sheetView workbookViewId="0">
      <selection activeCell="P23" sqref="P23"/>
    </sheetView>
  </sheetViews>
  <sheetFormatPr defaultRowHeight="14.4" x14ac:dyDescent="0.3"/>
  <cols>
    <col min="1" max="1" width="11.6640625" style="3" bestFit="1" customWidth="1"/>
    <col min="2" max="2" width="10.6640625" style="3" bestFit="1" customWidth="1"/>
    <col min="3" max="3" width="7.44140625" style="3" bestFit="1" customWidth="1"/>
    <col min="4" max="4" width="5.88671875" style="3" bestFit="1" customWidth="1"/>
    <col min="5" max="5" width="6" style="3" bestFit="1" customWidth="1"/>
    <col min="6" max="8" width="5" style="3" bestFit="1" customWidth="1"/>
    <col min="9" max="9" width="8.5546875" style="3" bestFit="1" customWidth="1"/>
    <col min="10" max="11" width="7" style="3" bestFit="1" customWidth="1"/>
    <col min="12" max="16384" width="8.88671875" style="3"/>
  </cols>
  <sheetData>
    <row r="1" spans="1:11" x14ac:dyDescent="0.3">
      <c r="A1" s="3" t="s">
        <v>33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3">
      <c r="A2" s="10" t="s">
        <v>32</v>
      </c>
      <c r="B2" s="3" t="s">
        <v>10</v>
      </c>
      <c r="C2" s="3" t="s">
        <v>11</v>
      </c>
      <c r="D2" s="3">
        <v>2178</v>
      </c>
      <c r="E2" s="3">
        <v>2173</v>
      </c>
      <c r="F2" s="3">
        <v>1847</v>
      </c>
      <c r="G2" s="3">
        <v>331</v>
      </c>
      <c r="H2" s="3">
        <v>326</v>
      </c>
      <c r="I2" s="3">
        <v>0.84799999999999998</v>
      </c>
      <c r="J2" s="3">
        <v>0.85</v>
      </c>
      <c r="K2" s="3">
        <v>0.84899999999999998</v>
      </c>
    </row>
    <row r="3" spans="1:11" x14ac:dyDescent="0.3">
      <c r="A3" s="10"/>
      <c r="B3" s="4" t="s">
        <v>12</v>
      </c>
      <c r="C3" s="3" t="s">
        <v>13</v>
      </c>
      <c r="D3" s="3">
        <v>2177</v>
      </c>
      <c r="E3" s="3">
        <v>2823</v>
      </c>
      <c r="F3" s="3">
        <v>1960</v>
      </c>
      <c r="G3" s="3">
        <v>217</v>
      </c>
      <c r="H3" s="3">
        <v>863</v>
      </c>
      <c r="I3" s="3">
        <v>0.90029999999999999</v>
      </c>
      <c r="J3" s="3">
        <v>0.69430000000000003</v>
      </c>
      <c r="K3" s="3">
        <v>0.78400000000000003</v>
      </c>
    </row>
    <row r="4" spans="1:11" x14ac:dyDescent="0.3">
      <c r="A4" s="10"/>
      <c r="B4" s="4" t="s">
        <v>14</v>
      </c>
      <c r="C4" s="3" t="s">
        <v>15</v>
      </c>
      <c r="D4" s="3">
        <v>5246</v>
      </c>
      <c r="E4" s="3">
        <v>5754</v>
      </c>
      <c r="F4" s="3">
        <v>4587</v>
      </c>
      <c r="G4" s="3">
        <v>659</v>
      </c>
      <c r="H4" s="3">
        <v>1167</v>
      </c>
      <c r="I4" s="3">
        <v>0.87439999999999996</v>
      </c>
      <c r="J4" s="3">
        <v>0.79720000000000002</v>
      </c>
      <c r="K4" s="3">
        <v>0.83399999999999996</v>
      </c>
    </row>
    <row r="5" spans="1:11" x14ac:dyDescent="0.3">
      <c r="A5" s="10"/>
      <c r="B5" s="4" t="s">
        <v>16</v>
      </c>
      <c r="C5" s="3" t="s">
        <v>17</v>
      </c>
      <c r="D5" s="3">
        <v>2178</v>
      </c>
      <c r="E5" s="3">
        <v>2297</v>
      </c>
      <c r="F5" s="3">
        <v>1969</v>
      </c>
      <c r="G5" s="3">
        <v>209</v>
      </c>
      <c r="H5" s="3">
        <v>328</v>
      </c>
      <c r="I5" s="3">
        <v>0.90400000000000003</v>
      </c>
      <c r="J5" s="3">
        <v>0.85719999999999996</v>
      </c>
      <c r="K5" s="3">
        <v>0.88</v>
      </c>
    </row>
    <row r="6" spans="1:11" x14ac:dyDescent="0.3">
      <c r="A6" s="10"/>
      <c r="B6" s="4" t="s">
        <v>18</v>
      </c>
      <c r="C6" s="3" t="s">
        <v>19</v>
      </c>
      <c r="D6" s="3">
        <v>8239</v>
      </c>
      <c r="E6" s="3">
        <v>8961</v>
      </c>
      <c r="F6" s="3">
        <v>7353</v>
      </c>
      <c r="G6" s="3">
        <v>886</v>
      </c>
      <c r="H6" s="3">
        <v>1608</v>
      </c>
      <c r="I6" s="3">
        <v>0.89249999999999996</v>
      </c>
      <c r="J6" s="3">
        <v>0.8206</v>
      </c>
      <c r="K6" s="3">
        <v>0.85499999999999998</v>
      </c>
    </row>
    <row r="7" spans="1:11" x14ac:dyDescent="0.3">
      <c r="A7" s="10"/>
      <c r="B7" s="4" t="s">
        <v>20</v>
      </c>
      <c r="C7" s="3" t="s">
        <v>21</v>
      </c>
      <c r="D7" s="3">
        <v>5245</v>
      </c>
      <c r="E7" s="3">
        <v>4958</v>
      </c>
      <c r="F7" s="3">
        <v>4423</v>
      </c>
      <c r="G7" s="3">
        <v>822</v>
      </c>
      <c r="H7" s="3">
        <v>535</v>
      </c>
      <c r="I7" s="3">
        <v>0.84330000000000005</v>
      </c>
      <c r="J7" s="3">
        <v>0.8921</v>
      </c>
      <c r="K7" s="3">
        <v>0.86699999999999999</v>
      </c>
    </row>
    <row r="8" spans="1:11" x14ac:dyDescent="0.3">
      <c r="A8" s="10"/>
      <c r="B8" s="4" t="s">
        <v>22</v>
      </c>
      <c r="C8" s="3" t="s">
        <v>23</v>
      </c>
      <c r="D8" s="3">
        <v>8239</v>
      </c>
      <c r="E8" s="3">
        <v>8761</v>
      </c>
      <c r="F8" s="3">
        <v>7123</v>
      </c>
      <c r="G8" s="3">
        <v>1116</v>
      </c>
      <c r="H8" s="3">
        <v>1638</v>
      </c>
      <c r="I8" s="3">
        <v>0.86450000000000005</v>
      </c>
      <c r="J8" s="3">
        <v>0.81299999999999994</v>
      </c>
      <c r="K8" s="3">
        <v>0.83799999999999997</v>
      </c>
    </row>
    <row r="9" spans="1:11" x14ac:dyDescent="0.3">
      <c r="A9" s="10"/>
      <c r="B9" s="4" t="s">
        <v>24</v>
      </c>
      <c r="C9" s="3" t="s">
        <v>25</v>
      </c>
      <c r="D9" s="3">
        <v>2178</v>
      </c>
      <c r="E9" s="3">
        <v>3435</v>
      </c>
      <c r="F9" s="3">
        <v>1900</v>
      </c>
      <c r="G9" s="3">
        <v>278</v>
      </c>
      <c r="H9" s="3">
        <v>1535</v>
      </c>
      <c r="I9" s="3">
        <v>0.87239999999999995</v>
      </c>
      <c r="J9" s="3">
        <v>0.55310000000000004</v>
      </c>
      <c r="K9" s="3">
        <v>0.67700000000000005</v>
      </c>
    </row>
    <row r="10" spans="1:11" x14ac:dyDescent="0.3">
      <c r="A10" s="10"/>
      <c r="B10" s="4" t="s">
        <v>26</v>
      </c>
      <c r="C10" s="3" t="s">
        <v>27</v>
      </c>
      <c r="D10" s="3">
        <v>8250</v>
      </c>
      <c r="E10" s="3">
        <v>13750</v>
      </c>
      <c r="F10" s="3">
        <v>7403</v>
      </c>
      <c r="G10" s="3">
        <v>847</v>
      </c>
      <c r="H10" s="3">
        <v>6347</v>
      </c>
      <c r="I10" s="3">
        <v>0.89729999999999999</v>
      </c>
      <c r="J10" s="3">
        <v>0.53839999999999999</v>
      </c>
      <c r="K10" s="3">
        <v>0.67300000000000004</v>
      </c>
    </row>
    <row r="11" spans="1:11" x14ac:dyDescent="0.3">
      <c r="A11" s="10"/>
      <c r="B11" s="4" t="s">
        <v>28</v>
      </c>
      <c r="C11" s="3" t="s">
        <v>29</v>
      </c>
      <c r="D11" s="3">
        <v>2178</v>
      </c>
      <c r="E11" s="3">
        <v>3822</v>
      </c>
      <c r="F11" s="3">
        <v>1878</v>
      </c>
      <c r="G11" s="3">
        <v>300</v>
      </c>
      <c r="H11" s="3">
        <v>1944</v>
      </c>
      <c r="I11" s="3">
        <v>0.86229999999999996</v>
      </c>
      <c r="J11" s="3">
        <v>0.4914</v>
      </c>
      <c r="K11" s="3">
        <v>0.626</v>
      </c>
    </row>
    <row r="12" spans="1:11" x14ac:dyDescent="0.3">
      <c r="A12" s="10"/>
      <c r="B12" s="4" t="s">
        <v>30</v>
      </c>
      <c r="C12" s="3" t="s">
        <v>31</v>
      </c>
      <c r="D12" s="3">
        <v>8250</v>
      </c>
      <c r="E12" s="3">
        <v>14750</v>
      </c>
      <c r="F12" s="3">
        <v>7452</v>
      </c>
      <c r="G12" s="3">
        <v>798</v>
      </c>
      <c r="H12" s="3">
        <v>7298</v>
      </c>
      <c r="I12" s="3">
        <v>0.90329999999999999</v>
      </c>
      <c r="J12" s="3">
        <v>0.50519999999999998</v>
      </c>
      <c r="K12" s="3">
        <v>0.64800000000000002</v>
      </c>
    </row>
    <row r="13" spans="1:11" x14ac:dyDescent="0.3">
      <c r="A13" s="10" t="s">
        <v>75</v>
      </c>
      <c r="B13" s="4" t="s">
        <v>10</v>
      </c>
      <c r="C13" s="3" t="s">
        <v>11</v>
      </c>
      <c r="D13" s="3">
        <v>673</v>
      </c>
      <c r="E13" s="3">
        <v>623</v>
      </c>
      <c r="F13" s="3">
        <v>600</v>
      </c>
      <c r="G13" s="3">
        <v>73</v>
      </c>
      <c r="H13" s="3">
        <v>23</v>
      </c>
      <c r="I13" s="3">
        <v>0.89149999999999996</v>
      </c>
      <c r="J13" s="3">
        <v>0.96309999999999996</v>
      </c>
      <c r="K13" s="3">
        <v>0.93210000000000004</v>
      </c>
    </row>
    <row r="14" spans="1:11" x14ac:dyDescent="0.3">
      <c r="A14" s="10"/>
      <c r="B14" s="3" t="s">
        <v>12</v>
      </c>
      <c r="C14" s="3" t="s">
        <v>13</v>
      </c>
      <c r="D14" s="3">
        <v>785</v>
      </c>
      <c r="E14" s="3">
        <v>709</v>
      </c>
      <c r="F14" s="3">
        <v>655</v>
      </c>
      <c r="G14" s="3">
        <v>130</v>
      </c>
      <c r="H14" s="3">
        <v>54</v>
      </c>
      <c r="I14" s="3">
        <v>0.83440000000000003</v>
      </c>
      <c r="J14" s="3">
        <v>0.92379999999999995</v>
      </c>
      <c r="K14" s="3">
        <v>0.87680000000000002</v>
      </c>
    </row>
    <row r="15" spans="1:11" x14ac:dyDescent="0.3">
      <c r="A15" s="10"/>
      <c r="B15" s="3" t="s">
        <v>14</v>
      </c>
      <c r="C15" s="3" t="s">
        <v>15</v>
      </c>
      <c r="D15" s="3">
        <v>2169</v>
      </c>
      <c r="E15" s="3">
        <v>2226</v>
      </c>
      <c r="F15" s="3">
        <v>1971</v>
      </c>
      <c r="G15" s="3">
        <v>198</v>
      </c>
      <c r="H15" s="3">
        <v>255</v>
      </c>
      <c r="I15" s="3">
        <v>0.90869999999999995</v>
      </c>
      <c r="J15" s="3">
        <v>0.88539999999999996</v>
      </c>
      <c r="K15" s="3">
        <v>0.89690000000000003</v>
      </c>
    </row>
    <row r="16" spans="1:11" x14ac:dyDescent="0.3">
      <c r="A16" s="10"/>
      <c r="B16" s="3" t="s">
        <v>16</v>
      </c>
      <c r="C16" s="3" t="s">
        <v>17</v>
      </c>
      <c r="D16" s="3">
        <v>708</v>
      </c>
      <c r="E16" s="3">
        <v>707</v>
      </c>
      <c r="F16" s="3">
        <v>643</v>
      </c>
      <c r="G16" s="3">
        <v>65</v>
      </c>
      <c r="H16" s="3">
        <v>64</v>
      </c>
      <c r="I16" s="3">
        <v>0.90820000000000001</v>
      </c>
      <c r="J16" s="3">
        <v>0.90949999999999998</v>
      </c>
      <c r="K16" s="3">
        <v>0.90880000000000005</v>
      </c>
    </row>
    <row r="17" spans="1:11" x14ac:dyDescent="0.3">
      <c r="A17" s="10"/>
      <c r="B17" s="3" t="s">
        <v>18</v>
      </c>
      <c r="C17" s="3" t="s">
        <v>19</v>
      </c>
      <c r="D17" s="3">
        <v>2317</v>
      </c>
      <c r="E17" s="3">
        <v>2486</v>
      </c>
      <c r="F17" s="3">
        <v>1931</v>
      </c>
      <c r="G17" s="3">
        <v>386</v>
      </c>
      <c r="H17" s="3">
        <v>555</v>
      </c>
      <c r="I17" s="3">
        <v>0.83340000000000003</v>
      </c>
      <c r="J17" s="3">
        <v>0.77669999999999995</v>
      </c>
      <c r="K17" s="3">
        <v>0.80410000000000004</v>
      </c>
    </row>
    <row r="18" spans="1:11" x14ac:dyDescent="0.3">
      <c r="A18" s="10"/>
      <c r="B18" s="3" t="s">
        <v>20</v>
      </c>
      <c r="C18" s="3" t="s">
        <v>21</v>
      </c>
      <c r="D18" s="3">
        <v>2169</v>
      </c>
      <c r="E18" s="3">
        <v>2580</v>
      </c>
      <c r="F18" s="3">
        <v>1971</v>
      </c>
      <c r="G18" s="3">
        <v>198</v>
      </c>
      <c r="H18" s="3">
        <v>609</v>
      </c>
      <c r="I18" s="3">
        <v>0.90869999999999995</v>
      </c>
      <c r="J18" s="3">
        <v>0.76400000000000001</v>
      </c>
      <c r="K18" s="3">
        <v>0.83009999999999995</v>
      </c>
    </row>
    <row r="19" spans="1:11" x14ac:dyDescent="0.3">
      <c r="A19" s="10"/>
      <c r="B19" s="3" t="s">
        <v>22</v>
      </c>
      <c r="C19" s="3" t="s">
        <v>23</v>
      </c>
      <c r="D19" s="3">
        <v>2317</v>
      </c>
      <c r="E19" s="3">
        <v>2826</v>
      </c>
      <c r="F19" s="3">
        <v>2106</v>
      </c>
      <c r="G19" s="3">
        <v>211</v>
      </c>
      <c r="H19" s="3">
        <v>720</v>
      </c>
      <c r="I19" s="3">
        <v>0.90890000000000004</v>
      </c>
      <c r="J19" s="3">
        <v>0.74519999999999997</v>
      </c>
      <c r="K19" s="3">
        <v>0.81899999999999995</v>
      </c>
    </row>
    <row r="20" spans="1:11" x14ac:dyDescent="0.3">
      <c r="A20" s="10"/>
      <c r="B20" s="3" t="s">
        <v>24</v>
      </c>
      <c r="C20" s="3" t="s">
        <v>25</v>
      </c>
      <c r="D20" s="3">
        <v>791</v>
      </c>
      <c r="E20" s="3">
        <v>1162</v>
      </c>
      <c r="F20" s="3">
        <v>660</v>
      </c>
      <c r="G20" s="3">
        <v>131</v>
      </c>
      <c r="H20" s="3">
        <v>502</v>
      </c>
      <c r="I20" s="3">
        <v>0.83440000000000003</v>
      </c>
      <c r="J20" s="3">
        <v>0.56799999999999995</v>
      </c>
      <c r="K20" s="3">
        <v>0.67589999999999995</v>
      </c>
    </row>
    <row r="21" spans="1:11" x14ac:dyDescent="0.3">
      <c r="A21" s="10"/>
      <c r="B21" s="3" t="s">
        <v>26</v>
      </c>
      <c r="C21" s="3" t="s">
        <v>27</v>
      </c>
      <c r="D21" s="3">
        <v>2520</v>
      </c>
      <c r="E21" s="3">
        <v>2949</v>
      </c>
      <c r="F21" s="3">
        <v>2100</v>
      </c>
      <c r="G21" s="3">
        <v>420</v>
      </c>
      <c r="H21" s="3">
        <v>849</v>
      </c>
      <c r="I21" s="3">
        <v>0.83330000000000004</v>
      </c>
      <c r="J21" s="3">
        <v>0.71209999999999996</v>
      </c>
      <c r="K21" s="3">
        <v>0.76800000000000002</v>
      </c>
    </row>
    <row r="22" spans="1:11" x14ac:dyDescent="0.3">
      <c r="A22" s="10"/>
      <c r="B22" s="3" t="s">
        <v>28</v>
      </c>
      <c r="C22" s="3" t="s">
        <v>29</v>
      </c>
      <c r="D22" s="3">
        <v>791</v>
      </c>
      <c r="E22" s="3">
        <v>993</v>
      </c>
      <c r="F22" s="3">
        <v>660</v>
      </c>
      <c r="G22" s="3">
        <v>131</v>
      </c>
      <c r="H22" s="3">
        <v>333</v>
      </c>
      <c r="I22" s="3">
        <v>0.83440000000000003</v>
      </c>
      <c r="J22" s="3">
        <v>0.66469999999999996</v>
      </c>
      <c r="K22" s="3">
        <v>0.7399</v>
      </c>
    </row>
    <row r="23" spans="1:11" x14ac:dyDescent="0.3">
      <c r="A23" s="10"/>
      <c r="B23" s="3" t="s">
        <v>30</v>
      </c>
      <c r="C23" s="3" t="s">
        <v>31</v>
      </c>
      <c r="D23" s="3">
        <v>2522</v>
      </c>
      <c r="E23" s="3">
        <v>3051</v>
      </c>
      <c r="F23" s="3">
        <v>2102</v>
      </c>
      <c r="G23" s="3">
        <v>420</v>
      </c>
      <c r="H23" s="3">
        <v>949</v>
      </c>
      <c r="I23" s="3">
        <v>0.83330000000000004</v>
      </c>
      <c r="J23" s="3">
        <v>0.6885</v>
      </c>
      <c r="K23" s="3">
        <v>0.754</v>
      </c>
    </row>
    <row r="24" spans="1:11" x14ac:dyDescent="0.3">
      <c r="A24" s="10" t="s">
        <v>34</v>
      </c>
      <c r="B24" s="3" t="s">
        <v>10</v>
      </c>
      <c r="C24" s="3" t="s">
        <v>11</v>
      </c>
      <c r="D24" s="3">
        <v>1156</v>
      </c>
      <c r="E24" s="3">
        <v>1156</v>
      </c>
      <c r="F24" s="3">
        <v>1099</v>
      </c>
      <c r="G24" s="3">
        <v>57</v>
      </c>
      <c r="H24" s="3">
        <v>57</v>
      </c>
      <c r="I24" s="3">
        <v>0.95099999999999996</v>
      </c>
      <c r="J24" s="3">
        <v>0.95099999999999996</v>
      </c>
      <c r="K24" s="3">
        <v>0.95099999999999996</v>
      </c>
    </row>
    <row r="25" spans="1:11" x14ac:dyDescent="0.3">
      <c r="A25" s="10"/>
      <c r="B25" s="3" t="s">
        <v>12</v>
      </c>
      <c r="C25" s="3" t="s">
        <v>13</v>
      </c>
      <c r="D25" s="3">
        <v>2056</v>
      </c>
      <c r="E25" s="3">
        <v>2056</v>
      </c>
      <c r="F25" s="3">
        <v>1721</v>
      </c>
      <c r="G25" s="3">
        <v>335</v>
      </c>
      <c r="H25" s="3">
        <v>335</v>
      </c>
      <c r="I25" s="3">
        <v>0.83699999999999997</v>
      </c>
      <c r="J25" s="3">
        <v>0.83699999999999997</v>
      </c>
      <c r="K25" s="3">
        <v>0.83699999999999997</v>
      </c>
    </row>
    <row r="26" spans="1:11" x14ac:dyDescent="0.3">
      <c r="A26" s="10"/>
      <c r="B26" s="3" t="s">
        <v>14</v>
      </c>
      <c r="C26" s="3" t="s">
        <v>15</v>
      </c>
      <c r="D26" s="3">
        <v>2517</v>
      </c>
      <c r="E26" s="3">
        <v>2517</v>
      </c>
      <c r="F26" s="3">
        <v>2086</v>
      </c>
      <c r="G26" s="3">
        <v>431</v>
      </c>
      <c r="H26" s="3">
        <v>431</v>
      </c>
      <c r="I26" s="3">
        <v>0.82899999999999996</v>
      </c>
      <c r="J26" s="3">
        <v>0.82899999999999996</v>
      </c>
      <c r="K26" s="3">
        <v>0.82899999999999996</v>
      </c>
    </row>
    <row r="27" spans="1:11" x14ac:dyDescent="0.3">
      <c r="A27" s="10"/>
      <c r="B27" s="3" t="s">
        <v>16</v>
      </c>
      <c r="C27" s="3" t="s">
        <v>17</v>
      </c>
      <c r="D27" s="3">
        <v>1156</v>
      </c>
      <c r="E27" s="3">
        <v>1156</v>
      </c>
      <c r="F27" s="3">
        <v>973</v>
      </c>
      <c r="G27" s="3">
        <v>183</v>
      </c>
      <c r="H27" s="3">
        <v>183</v>
      </c>
      <c r="I27" s="3">
        <v>0.84099999999999997</v>
      </c>
      <c r="J27" s="3">
        <v>0.84099999999999997</v>
      </c>
      <c r="K27" s="3">
        <v>0.84099999999999997</v>
      </c>
    </row>
    <row r="28" spans="1:11" x14ac:dyDescent="0.3">
      <c r="A28" s="10"/>
      <c r="B28" s="3" t="s">
        <v>18</v>
      </c>
      <c r="C28" s="3" t="s">
        <v>19</v>
      </c>
      <c r="D28" s="3">
        <v>3879</v>
      </c>
      <c r="E28" s="3">
        <v>3879</v>
      </c>
      <c r="F28" s="3">
        <v>3157</v>
      </c>
      <c r="G28" s="3">
        <v>722</v>
      </c>
      <c r="H28" s="3">
        <v>722</v>
      </c>
      <c r="I28" s="3">
        <v>0.81399999999999995</v>
      </c>
      <c r="J28" s="3">
        <v>0.81399999999999995</v>
      </c>
      <c r="K28" s="3">
        <v>0.81399999999999995</v>
      </c>
    </row>
    <row r="29" spans="1:11" x14ac:dyDescent="0.3">
      <c r="A29" s="10"/>
      <c r="B29" s="3" t="s">
        <v>20</v>
      </c>
      <c r="C29" s="3" t="s">
        <v>21</v>
      </c>
      <c r="D29" s="3">
        <v>2517</v>
      </c>
      <c r="E29" s="3">
        <v>2517</v>
      </c>
      <c r="F29" s="3">
        <v>2103</v>
      </c>
      <c r="G29" s="3">
        <v>414</v>
      </c>
      <c r="H29" s="3">
        <v>414</v>
      </c>
      <c r="I29" s="3">
        <v>0.83599999999999997</v>
      </c>
      <c r="J29" s="3">
        <v>0.83599999999999997</v>
      </c>
      <c r="K29" s="3">
        <v>0.83599999999999997</v>
      </c>
    </row>
    <row r="30" spans="1:11" x14ac:dyDescent="0.3">
      <c r="A30" s="10"/>
      <c r="B30" s="3" t="s">
        <v>22</v>
      </c>
      <c r="C30" s="3" t="s">
        <v>23</v>
      </c>
      <c r="D30" s="3">
        <v>3879</v>
      </c>
      <c r="E30" s="3">
        <v>3879</v>
      </c>
      <c r="F30" s="3">
        <v>3231</v>
      </c>
      <c r="G30" s="3">
        <v>648</v>
      </c>
      <c r="H30" s="3">
        <v>648</v>
      </c>
      <c r="I30" s="3">
        <v>0.83299999999999996</v>
      </c>
      <c r="J30" s="3">
        <v>0.83299999999999996</v>
      </c>
      <c r="K30" s="3">
        <v>0.83299999999999996</v>
      </c>
    </row>
    <row r="31" spans="1:11" x14ac:dyDescent="0.3">
      <c r="A31" s="10"/>
      <c r="B31" s="3" t="s">
        <v>24</v>
      </c>
      <c r="C31" s="3" t="s">
        <v>25</v>
      </c>
      <c r="D31" s="3">
        <v>3208</v>
      </c>
      <c r="E31" s="3">
        <v>4278</v>
      </c>
      <c r="F31" s="3">
        <v>2246</v>
      </c>
      <c r="G31" s="3">
        <v>962</v>
      </c>
      <c r="H31" s="3">
        <v>2032</v>
      </c>
      <c r="I31" s="3">
        <v>0.7</v>
      </c>
      <c r="J31" s="3">
        <v>0.52500000000000002</v>
      </c>
      <c r="K31" s="3">
        <v>0.6</v>
      </c>
    </row>
    <row r="32" spans="1:11" x14ac:dyDescent="0.3">
      <c r="A32" s="10"/>
      <c r="B32" s="3" t="s">
        <v>26</v>
      </c>
      <c r="C32" s="3" t="s">
        <v>27</v>
      </c>
      <c r="D32" s="3">
        <v>6563</v>
      </c>
      <c r="E32" s="3">
        <v>6563</v>
      </c>
      <c r="F32" s="3">
        <v>4660</v>
      </c>
      <c r="G32" s="3">
        <v>1903</v>
      </c>
      <c r="H32" s="3">
        <v>1903</v>
      </c>
      <c r="I32" s="3">
        <v>0.71</v>
      </c>
      <c r="J32" s="3">
        <v>0.71</v>
      </c>
      <c r="K32" s="3">
        <v>0.71</v>
      </c>
    </row>
    <row r="33" spans="1:11" x14ac:dyDescent="0.3">
      <c r="A33" s="10"/>
      <c r="B33" s="3" t="s">
        <v>28</v>
      </c>
      <c r="C33" s="3" t="s">
        <v>29</v>
      </c>
      <c r="D33" s="3">
        <v>3208</v>
      </c>
      <c r="E33" s="3">
        <v>3208</v>
      </c>
      <c r="F33" s="3">
        <v>2271</v>
      </c>
      <c r="G33" s="3">
        <v>937</v>
      </c>
      <c r="H33" s="3">
        <v>937</v>
      </c>
      <c r="I33" s="3">
        <v>0.70799999999999996</v>
      </c>
      <c r="J33" s="3">
        <v>0.70799999999999996</v>
      </c>
      <c r="K33" s="3">
        <v>0.70799999999999996</v>
      </c>
    </row>
    <row r="34" spans="1:11" x14ac:dyDescent="0.3">
      <c r="A34" s="10"/>
      <c r="B34" s="3" t="s">
        <v>30</v>
      </c>
      <c r="C34" s="3" t="s">
        <v>31</v>
      </c>
      <c r="D34" s="3">
        <v>6563</v>
      </c>
      <c r="E34" s="3">
        <v>6563</v>
      </c>
      <c r="F34" s="3">
        <v>4717</v>
      </c>
      <c r="G34" s="3">
        <v>1846</v>
      </c>
      <c r="H34" s="3">
        <v>1846</v>
      </c>
      <c r="I34" s="3">
        <v>0.71899999999999997</v>
      </c>
      <c r="J34" s="3">
        <v>0.71899999999999997</v>
      </c>
      <c r="K34" s="3">
        <v>0.71899999999999997</v>
      </c>
    </row>
    <row r="35" spans="1:11" x14ac:dyDescent="0.3">
      <c r="A35" s="10" t="s">
        <v>76</v>
      </c>
      <c r="B35" s="3" t="s">
        <v>10</v>
      </c>
      <c r="C35" s="3" t="s">
        <v>11</v>
      </c>
      <c r="D35" s="3">
        <v>55</v>
      </c>
      <c r="E35" s="3">
        <v>56</v>
      </c>
      <c r="F35" s="3">
        <v>49</v>
      </c>
      <c r="G35" s="3">
        <v>6</v>
      </c>
      <c r="H35" s="3">
        <v>7</v>
      </c>
      <c r="I35" s="3">
        <v>0.89090000000000003</v>
      </c>
      <c r="J35" s="3">
        <v>0.875</v>
      </c>
      <c r="K35" s="3">
        <v>0.88290000000000002</v>
      </c>
    </row>
    <row r="36" spans="1:11" x14ac:dyDescent="0.3">
      <c r="A36" s="10"/>
      <c r="B36" s="3" t="s">
        <v>12</v>
      </c>
      <c r="C36" s="3" t="s">
        <v>13</v>
      </c>
      <c r="D36" s="3">
        <v>107</v>
      </c>
      <c r="E36" s="3">
        <v>111</v>
      </c>
      <c r="F36" s="3">
        <v>92</v>
      </c>
      <c r="G36" s="3">
        <v>15</v>
      </c>
      <c r="H36" s="3">
        <v>19</v>
      </c>
      <c r="I36" s="3">
        <v>0.85980000000000001</v>
      </c>
      <c r="J36" s="3">
        <v>0.82879999999999998</v>
      </c>
      <c r="K36" s="3">
        <v>0.84399999999999997</v>
      </c>
    </row>
    <row r="37" spans="1:11" x14ac:dyDescent="0.3">
      <c r="A37" s="10"/>
      <c r="B37" s="3" t="s">
        <v>14</v>
      </c>
      <c r="C37" s="3" t="s">
        <v>15</v>
      </c>
      <c r="D37" s="3">
        <v>83</v>
      </c>
      <c r="E37" s="3">
        <v>85</v>
      </c>
      <c r="F37" s="3">
        <v>71</v>
      </c>
      <c r="G37" s="3">
        <v>12</v>
      </c>
      <c r="H37" s="3">
        <v>14</v>
      </c>
      <c r="I37" s="3">
        <v>0.85540000000000005</v>
      </c>
      <c r="J37" s="3">
        <v>0.83530000000000004</v>
      </c>
      <c r="K37" s="3">
        <v>0.84519999999999995</v>
      </c>
    </row>
    <row r="38" spans="1:11" x14ac:dyDescent="0.3">
      <c r="A38" s="10"/>
      <c r="B38" s="3" t="s">
        <v>16</v>
      </c>
      <c r="C38" s="3" t="s">
        <v>17</v>
      </c>
      <c r="D38" s="3">
        <v>69</v>
      </c>
      <c r="E38" s="3">
        <v>72</v>
      </c>
      <c r="F38" s="3">
        <v>60</v>
      </c>
      <c r="G38" s="3">
        <v>9</v>
      </c>
      <c r="H38" s="3">
        <v>12</v>
      </c>
      <c r="I38" s="3">
        <v>0.86960000000000004</v>
      </c>
      <c r="J38" s="3">
        <v>0.83330000000000004</v>
      </c>
      <c r="K38" s="3">
        <v>0.85109999999999997</v>
      </c>
    </row>
    <row r="39" spans="1:11" x14ac:dyDescent="0.3">
      <c r="A39" s="10"/>
      <c r="B39" s="3" t="s">
        <v>18</v>
      </c>
      <c r="C39" s="3" t="s">
        <v>19</v>
      </c>
      <c r="D39" s="3">
        <v>143</v>
      </c>
      <c r="E39" s="3">
        <v>149</v>
      </c>
      <c r="F39" s="3">
        <v>117</v>
      </c>
      <c r="G39" s="3">
        <v>26</v>
      </c>
      <c r="H39" s="3">
        <v>32</v>
      </c>
      <c r="I39" s="3">
        <v>0.81820000000000004</v>
      </c>
      <c r="J39" s="3">
        <v>0.78520000000000001</v>
      </c>
      <c r="K39" s="3">
        <v>0.8014</v>
      </c>
    </row>
    <row r="40" spans="1:11" x14ac:dyDescent="0.3">
      <c r="A40" s="10"/>
      <c r="B40" s="3" t="s">
        <v>20</v>
      </c>
      <c r="C40" s="3" t="s">
        <v>21</v>
      </c>
      <c r="D40" s="3">
        <v>88</v>
      </c>
      <c r="E40" s="3">
        <v>92</v>
      </c>
      <c r="F40" s="3">
        <v>74</v>
      </c>
      <c r="G40" s="3">
        <v>14</v>
      </c>
      <c r="H40" s="3">
        <v>18</v>
      </c>
      <c r="I40" s="3">
        <v>0.84089999999999998</v>
      </c>
      <c r="J40" s="3">
        <v>0.80430000000000001</v>
      </c>
      <c r="K40" s="3">
        <v>0.82220000000000004</v>
      </c>
    </row>
    <row r="41" spans="1:11" x14ac:dyDescent="0.3">
      <c r="A41" s="10"/>
      <c r="B41" s="3" t="s">
        <v>22</v>
      </c>
      <c r="C41" s="3" t="s">
        <v>23</v>
      </c>
      <c r="D41" s="3">
        <v>140</v>
      </c>
      <c r="E41" s="3">
        <v>146</v>
      </c>
      <c r="F41" s="3">
        <v>118</v>
      </c>
      <c r="G41" s="3">
        <v>22</v>
      </c>
      <c r="H41" s="3">
        <v>28</v>
      </c>
      <c r="I41" s="3">
        <v>0.84289999999999998</v>
      </c>
      <c r="J41" s="3">
        <v>0.80820000000000003</v>
      </c>
      <c r="K41" s="3">
        <v>0.82520000000000004</v>
      </c>
    </row>
    <row r="42" spans="1:11" x14ac:dyDescent="0.3">
      <c r="A42" s="10"/>
      <c r="B42" s="3" t="s">
        <v>24</v>
      </c>
      <c r="C42" s="3" t="s">
        <v>25</v>
      </c>
      <c r="D42" s="3">
        <v>167</v>
      </c>
      <c r="E42" s="3">
        <v>175</v>
      </c>
      <c r="F42" s="3">
        <v>115</v>
      </c>
      <c r="G42" s="3">
        <v>52</v>
      </c>
      <c r="H42" s="3">
        <v>60</v>
      </c>
      <c r="I42" s="3">
        <v>0.68859999999999999</v>
      </c>
      <c r="J42" s="3">
        <v>0.65710000000000002</v>
      </c>
      <c r="K42" s="3">
        <v>0.67249999999999999</v>
      </c>
    </row>
    <row r="43" spans="1:11" x14ac:dyDescent="0.3">
      <c r="A43" s="10"/>
      <c r="B43" s="3" t="s">
        <v>26</v>
      </c>
      <c r="C43" s="3" t="s">
        <v>27</v>
      </c>
      <c r="D43" s="3">
        <v>224</v>
      </c>
      <c r="E43" s="3">
        <v>234</v>
      </c>
      <c r="F43" s="3">
        <v>169</v>
      </c>
      <c r="G43" s="3">
        <v>55</v>
      </c>
      <c r="H43" s="3">
        <v>65</v>
      </c>
      <c r="I43" s="3">
        <v>0.75449999999999995</v>
      </c>
      <c r="J43" s="3">
        <v>0.72219999999999995</v>
      </c>
      <c r="K43" s="3">
        <v>0.73799999999999999</v>
      </c>
    </row>
    <row r="44" spans="1:11" x14ac:dyDescent="0.3">
      <c r="A44" s="10"/>
      <c r="B44" s="3" t="s">
        <v>28</v>
      </c>
      <c r="C44" s="3" t="s">
        <v>29</v>
      </c>
      <c r="D44" s="3">
        <v>119</v>
      </c>
      <c r="E44" s="3">
        <v>125</v>
      </c>
      <c r="F44" s="3">
        <v>85</v>
      </c>
      <c r="G44" s="3">
        <v>34</v>
      </c>
      <c r="H44" s="3">
        <v>40</v>
      </c>
      <c r="I44" s="3">
        <v>0.71430000000000005</v>
      </c>
      <c r="J44" s="3">
        <v>0.68</v>
      </c>
      <c r="K44" s="3">
        <v>0.69669999999999999</v>
      </c>
    </row>
    <row r="45" spans="1:11" x14ac:dyDescent="0.3">
      <c r="A45" s="10"/>
      <c r="B45" s="3" t="s">
        <v>30</v>
      </c>
      <c r="C45" s="3" t="s">
        <v>31</v>
      </c>
      <c r="D45" s="3">
        <v>192</v>
      </c>
      <c r="E45" s="3">
        <v>202</v>
      </c>
      <c r="F45" s="3">
        <v>147</v>
      </c>
      <c r="G45" s="3">
        <v>45</v>
      </c>
      <c r="H45" s="3">
        <v>55</v>
      </c>
      <c r="I45" s="3">
        <v>0.76559999999999995</v>
      </c>
      <c r="J45" s="3">
        <v>0.72770000000000001</v>
      </c>
      <c r="K45" s="3">
        <v>0.74619999999999997</v>
      </c>
    </row>
    <row r="46" spans="1:11" x14ac:dyDescent="0.3">
      <c r="A46" s="10" t="s">
        <v>77</v>
      </c>
      <c r="B46" s="3" t="s">
        <v>10</v>
      </c>
      <c r="C46" s="3" t="s">
        <v>11</v>
      </c>
      <c r="D46" s="3">
        <v>1307</v>
      </c>
      <c r="E46" s="3">
        <v>1339</v>
      </c>
      <c r="F46" s="3">
        <v>1199</v>
      </c>
      <c r="G46" s="3">
        <v>108</v>
      </c>
      <c r="H46" s="3">
        <v>140</v>
      </c>
      <c r="I46" s="3">
        <v>0.91269999999999996</v>
      </c>
      <c r="J46" s="3">
        <v>0.88980000000000004</v>
      </c>
      <c r="K46" s="3">
        <v>0.91100000000000003</v>
      </c>
    </row>
    <row r="47" spans="1:11" x14ac:dyDescent="0.3">
      <c r="A47" s="10"/>
      <c r="B47" s="3" t="s">
        <v>12</v>
      </c>
      <c r="C47" s="3" t="s">
        <v>13</v>
      </c>
      <c r="D47" s="3">
        <v>2364</v>
      </c>
      <c r="E47" s="3">
        <v>2420</v>
      </c>
      <c r="F47" s="3">
        <v>2125</v>
      </c>
      <c r="G47" s="3">
        <v>239</v>
      </c>
      <c r="H47" s="3">
        <v>295</v>
      </c>
      <c r="I47" s="3">
        <v>0.89900000000000002</v>
      </c>
      <c r="J47" s="3">
        <v>0.87809999999999999</v>
      </c>
      <c r="K47" s="3">
        <v>0.89900000000000002</v>
      </c>
    </row>
    <row r="48" spans="1:11" x14ac:dyDescent="0.3">
      <c r="A48" s="10"/>
      <c r="B48" s="3" t="s">
        <v>14</v>
      </c>
      <c r="C48" s="3" t="s">
        <v>15</v>
      </c>
      <c r="D48" s="3">
        <v>2332</v>
      </c>
      <c r="E48" s="3">
        <v>2397</v>
      </c>
      <c r="F48" s="3">
        <v>1905</v>
      </c>
      <c r="G48" s="3">
        <v>427</v>
      </c>
      <c r="H48" s="3">
        <v>492</v>
      </c>
      <c r="I48" s="3">
        <v>0.81020000000000003</v>
      </c>
      <c r="J48" s="3">
        <v>0.78749999999999998</v>
      </c>
      <c r="K48" s="3">
        <v>0.81</v>
      </c>
    </row>
    <row r="49" spans="1:11" x14ac:dyDescent="0.3">
      <c r="A49" s="10"/>
      <c r="B49" s="3" t="s">
        <v>16</v>
      </c>
      <c r="C49" s="3" t="s">
        <v>17</v>
      </c>
      <c r="D49" s="3">
        <v>1368</v>
      </c>
      <c r="E49" s="3">
        <v>1425</v>
      </c>
      <c r="F49" s="3">
        <v>1196</v>
      </c>
      <c r="G49" s="3">
        <v>172</v>
      </c>
      <c r="H49" s="3">
        <v>229</v>
      </c>
      <c r="I49" s="3">
        <v>0.86109999999999998</v>
      </c>
      <c r="J49" s="3">
        <v>0.82279999999999998</v>
      </c>
      <c r="K49" s="3">
        <v>0.86099999999999999</v>
      </c>
    </row>
    <row r="50" spans="1:11" x14ac:dyDescent="0.3">
      <c r="A50" s="10"/>
      <c r="B50" s="3" t="s">
        <v>18</v>
      </c>
      <c r="C50" s="3" t="s">
        <v>19</v>
      </c>
      <c r="D50" s="3">
        <v>3922</v>
      </c>
      <c r="E50" s="3">
        <v>4035</v>
      </c>
      <c r="F50" s="3">
        <v>3281</v>
      </c>
      <c r="G50" s="3">
        <v>641</v>
      </c>
      <c r="H50" s="3">
        <v>754</v>
      </c>
      <c r="I50" s="3">
        <v>0.84730000000000005</v>
      </c>
      <c r="J50" s="3">
        <v>0.82489999999999997</v>
      </c>
      <c r="K50" s="3">
        <v>0.82399999999999995</v>
      </c>
    </row>
    <row r="51" spans="1:11" x14ac:dyDescent="0.3">
      <c r="A51" s="10"/>
      <c r="B51" s="3" t="s">
        <v>20</v>
      </c>
      <c r="C51" s="3" t="s">
        <v>21</v>
      </c>
      <c r="D51" s="3">
        <v>2397</v>
      </c>
      <c r="E51" s="3">
        <v>2467</v>
      </c>
      <c r="F51" s="3">
        <v>1962</v>
      </c>
      <c r="G51" s="3">
        <v>435</v>
      </c>
      <c r="H51" s="3">
        <v>505</v>
      </c>
      <c r="I51" s="3">
        <v>0.80669999999999997</v>
      </c>
      <c r="J51" s="3">
        <v>0.78280000000000005</v>
      </c>
      <c r="K51" s="3">
        <v>0.80700000000000005</v>
      </c>
    </row>
    <row r="52" spans="1:11" x14ac:dyDescent="0.3">
      <c r="A52" s="10"/>
      <c r="B52" s="3" t="s">
        <v>22</v>
      </c>
      <c r="C52" s="3" t="s">
        <v>23</v>
      </c>
      <c r="D52" s="3">
        <v>4414</v>
      </c>
      <c r="E52" s="3">
        <v>4532</v>
      </c>
      <c r="F52" s="3">
        <v>3527</v>
      </c>
      <c r="G52" s="3">
        <v>887</v>
      </c>
      <c r="H52" s="3">
        <v>1005</v>
      </c>
      <c r="I52" s="3">
        <v>0.78859999999999997</v>
      </c>
      <c r="J52" s="3">
        <v>0.76719999999999999</v>
      </c>
      <c r="K52" s="3">
        <v>0.78900000000000003</v>
      </c>
    </row>
    <row r="53" spans="1:11" x14ac:dyDescent="0.3">
      <c r="A53" s="10"/>
      <c r="B53" s="3" t="s">
        <v>24</v>
      </c>
      <c r="C53" s="3" t="s">
        <v>25</v>
      </c>
      <c r="D53" s="3">
        <v>3802</v>
      </c>
      <c r="E53" s="3">
        <v>3879</v>
      </c>
      <c r="F53" s="3">
        <v>3355</v>
      </c>
      <c r="G53" s="3">
        <v>447</v>
      </c>
      <c r="H53" s="3">
        <v>524</v>
      </c>
      <c r="I53" s="3">
        <v>0.87309999999999999</v>
      </c>
      <c r="J53" s="3">
        <v>0.85440000000000005</v>
      </c>
      <c r="K53" s="3">
        <v>0.874</v>
      </c>
    </row>
    <row r="54" spans="1:11" x14ac:dyDescent="0.3">
      <c r="A54" s="10"/>
      <c r="B54" s="3" t="s">
        <v>26</v>
      </c>
      <c r="C54" s="3" t="s">
        <v>27</v>
      </c>
      <c r="D54" s="3">
        <v>6434</v>
      </c>
      <c r="E54" s="3">
        <v>6559</v>
      </c>
      <c r="F54" s="3">
        <v>5118</v>
      </c>
      <c r="G54" s="3">
        <v>1316</v>
      </c>
      <c r="H54" s="3">
        <v>1441</v>
      </c>
      <c r="I54" s="3">
        <v>0.78690000000000004</v>
      </c>
      <c r="J54" s="3">
        <v>0.77129999999999999</v>
      </c>
      <c r="K54" s="3">
        <v>0.78700000000000003</v>
      </c>
    </row>
    <row r="55" spans="1:11" x14ac:dyDescent="0.3">
      <c r="A55" s="10"/>
      <c r="B55" s="3" t="s">
        <v>28</v>
      </c>
      <c r="C55" s="3" t="s">
        <v>29</v>
      </c>
      <c r="D55" s="3">
        <v>3694</v>
      </c>
      <c r="E55" s="3">
        <v>3786</v>
      </c>
      <c r="F55" s="3">
        <v>2965</v>
      </c>
      <c r="G55" s="3">
        <v>729</v>
      </c>
      <c r="H55" s="3">
        <v>821</v>
      </c>
      <c r="I55" s="3">
        <v>0.79290000000000005</v>
      </c>
      <c r="J55" s="3">
        <v>0.77290000000000003</v>
      </c>
      <c r="K55" s="3">
        <v>0.79300000000000004</v>
      </c>
    </row>
    <row r="56" spans="1:11" x14ac:dyDescent="0.3">
      <c r="A56" s="10"/>
      <c r="B56" s="3" t="s">
        <v>30</v>
      </c>
      <c r="C56" s="3" t="s">
        <v>31</v>
      </c>
      <c r="D56" s="3">
        <v>6475</v>
      </c>
      <c r="E56" s="3">
        <v>6650</v>
      </c>
      <c r="F56" s="3">
        <v>4979</v>
      </c>
      <c r="G56" s="3">
        <v>1496</v>
      </c>
      <c r="H56" s="3">
        <v>1671</v>
      </c>
      <c r="I56" s="3">
        <v>0.75800000000000001</v>
      </c>
      <c r="J56" s="3">
        <v>0.73699999999999999</v>
      </c>
      <c r="K56" s="3">
        <v>0.75800000000000001</v>
      </c>
    </row>
  </sheetData>
  <mergeCells count="5">
    <mergeCell ref="A2:A12"/>
    <mergeCell ref="A13:A23"/>
    <mergeCell ref="A24:A34"/>
    <mergeCell ref="A35:A45"/>
    <mergeCell ref="A46:A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A527-4F0F-4825-B40E-8CFB2461FD62}">
  <dimension ref="A1:AO12"/>
  <sheetViews>
    <sheetView workbookViewId="0">
      <selection sqref="A1:AO12"/>
    </sheetView>
  </sheetViews>
  <sheetFormatPr defaultRowHeight="14.4" x14ac:dyDescent="0.3"/>
  <sheetData>
    <row r="1" spans="1:41" x14ac:dyDescent="0.3">
      <c r="A1" t="s">
        <v>1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</row>
    <row r="2" spans="1:41" x14ac:dyDescent="0.3">
      <c r="A2" t="s">
        <v>10</v>
      </c>
      <c r="B2">
        <v>2178</v>
      </c>
      <c r="C2">
        <v>2173</v>
      </c>
      <c r="D2">
        <v>1847</v>
      </c>
      <c r="E2">
        <v>331</v>
      </c>
      <c r="F2">
        <v>326</v>
      </c>
      <c r="G2">
        <v>0.84799999999999998</v>
      </c>
      <c r="H2">
        <v>0.85</v>
      </c>
      <c r="I2">
        <v>0.84899999999999998</v>
      </c>
      <c r="J2">
        <v>673</v>
      </c>
      <c r="K2">
        <v>623</v>
      </c>
      <c r="L2">
        <v>600</v>
      </c>
      <c r="M2">
        <v>73</v>
      </c>
      <c r="N2">
        <v>23</v>
      </c>
      <c r="O2">
        <v>0.89149999999999996</v>
      </c>
      <c r="P2">
        <v>0.96309999999999996</v>
      </c>
      <c r="Q2">
        <v>0.93210000000000004</v>
      </c>
      <c r="R2">
        <v>1156</v>
      </c>
      <c r="S2">
        <v>1156</v>
      </c>
      <c r="T2">
        <v>1099</v>
      </c>
      <c r="U2">
        <v>57</v>
      </c>
      <c r="V2">
        <v>57</v>
      </c>
      <c r="W2">
        <v>0.95099999999999996</v>
      </c>
      <c r="X2">
        <v>0.95099999999999996</v>
      </c>
      <c r="Y2">
        <v>0.95099999999999996</v>
      </c>
      <c r="Z2">
        <v>55</v>
      </c>
      <c r="AA2">
        <v>56</v>
      </c>
      <c r="AB2">
        <v>49</v>
      </c>
      <c r="AC2">
        <v>6</v>
      </c>
      <c r="AD2">
        <v>7</v>
      </c>
      <c r="AE2">
        <v>0.89090000000000003</v>
      </c>
      <c r="AF2">
        <v>0.875</v>
      </c>
      <c r="AG2">
        <v>0.88290000000000002</v>
      </c>
      <c r="AH2">
        <v>1307</v>
      </c>
      <c r="AI2">
        <v>1339</v>
      </c>
      <c r="AJ2">
        <v>1199</v>
      </c>
      <c r="AK2">
        <v>108</v>
      </c>
      <c r="AL2">
        <v>140</v>
      </c>
      <c r="AM2">
        <v>0.91269999999999996</v>
      </c>
      <c r="AN2">
        <v>0.88980000000000004</v>
      </c>
      <c r="AO2">
        <v>0.91100000000000003</v>
      </c>
    </row>
    <row r="3" spans="1:41" x14ac:dyDescent="0.3">
      <c r="A3" t="s">
        <v>12</v>
      </c>
      <c r="B3">
        <v>2177</v>
      </c>
      <c r="C3">
        <v>2823</v>
      </c>
      <c r="D3">
        <v>1960</v>
      </c>
      <c r="E3">
        <v>217</v>
      </c>
      <c r="F3">
        <v>863</v>
      </c>
      <c r="G3">
        <v>0.90029999999999999</v>
      </c>
      <c r="H3">
        <v>0.69430000000000003</v>
      </c>
      <c r="I3">
        <v>0.78400000000000003</v>
      </c>
      <c r="J3">
        <v>785</v>
      </c>
      <c r="K3">
        <v>709</v>
      </c>
      <c r="L3">
        <v>655</v>
      </c>
      <c r="M3">
        <v>130</v>
      </c>
      <c r="N3">
        <v>54</v>
      </c>
      <c r="O3">
        <v>0.83440000000000003</v>
      </c>
      <c r="P3">
        <v>0.92379999999999995</v>
      </c>
      <c r="Q3">
        <v>0.87680000000000002</v>
      </c>
      <c r="R3">
        <v>2056</v>
      </c>
      <c r="S3">
        <v>2056</v>
      </c>
      <c r="T3">
        <v>1721</v>
      </c>
      <c r="U3">
        <v>335</v>
      </c>
      <c r="V3">
        <v>335</v>
      </c>
      <c r="W3">
        <v>0.83699999999999997</v>
      </c>
      <c r="X3">
        <v>0.83699999999999997</v>
      </c>
      <c r="Y3">
        <v>0.83699999999999997</v>
      </c>
      <c r="Z3">
        <v>107</v>
      </c>
      <c r="AA3">
        <v>111</v>
      </c>
      <c r="AB3">
        <v>92</v>
      </c>
      <c r="AC3">
        <v>15</v>
      </c>
      <c r="AD3">
        <v>19</v>
      </c>
      <c r="AE3">
        <v>0.85980000000000001</v>
      </c>
      <c r="AF3">
        <v>0.82879999999999998</v>
      </c>
      <c r="AG3">
        <v>0.84399999999999997</v>
      </c>
      <c r="AH3">
        <v>2364</v>
      </c>
      <c r="AI3">
        <v>2420</v>
      </c>
      <c r="AJ3">
        <v>2125</v>
      </c>
      <c r="AK3">
        <v>239</v>
      </c>
      <c r="AL3">
        <v>295</v>
      </c>
      <c r="AM3">
        <v>0.89900000000000002</v>
      </c>
      <c r="AN3">
        <v>0.87809999999999999</v>
      </c>
      <c r="AO3">
        <v>0.89900000000000002</v>
      </c>
    </row>
    <row r="4" spans="1:41" x14ac:dyDescent="0.3">
      <c r="A4" t="s">
        <v>14</v>
      </c>
      <c r="B4">
        <v>5246</v>
      </c>
      <c r="C4">
        <v>5754</v>
      </c>
      <c r="D4">
        <v>4587</v>
      </c>
      <c r="E4">
        <v>659</v>
      </c>
      <c r="F4">
        <v>1167</v>
      </c>
      <c r="G4">
        <v>0.87439999999999996</v>
      </c>
      <c r="H4">
        <v>0.79720000000000002</v>
      </c>
      <c r="I4">
        <v>0.83399999999999996</v>
      </c>
      <c r="J4">
        <v>2169</v>
      </c>
      <c r="K4">
        <v>2226</v>
      </c>
      <c r="L4">
        <v>1971</v>
      </c>
      <c r="M4">
        <v>198</v>
      </c>
      <c r="N4">
        <v>255</v>
      </c>
      <c r="O4">
        <v>0.90869999999999995</v>
      </c>
      <c r="P4">
        <v>0.88539999999999996</v>
      </c>
      <c r="Q4">
        <v>0.89690000000000003</v>
      </c>
      <c r="R4">
        <v>2517</v>
      </c>
      <c r="S4">
        <v>2517</v>
      </c>
      <c r="T4">
        <v>2086</v>
      </c>
      <c r="U4">
        <v>431</v>
      </c>
      <c r="V4">
        <v>431</v>
      </c>
      <c r="W4">
        <v>0.82899999999999996</v>
      </c>
      <c r="X4">
        <v>0.82899999999999996</v>
      </c>
      <c r="Y4">
        <v>0.82899999999999996</v>
      </c>
      <c r="Z4">
        <v>83</v>
      </c>
      <c r="AA4">
        <v>85</v>
      </c>
      <c r="AB4">
        <v>71</v>
      </c>
      <c r="AC4">
        <v>12</v>
      </c>
      <c r="AD4">
        <v>14</v>
      </c>
      <c r="AE4">
        <v>0.85540000000000005</v>
      </c>
      <c r="AF4">
        <v>0.83530000000000004</v>
      </c>
      <c r="AG4">
        <v>0.84519999999999995</v>
      </c>
      <c r="AH4">
        <v>2332</v>
      </c>
      <c r="AI4">
        <v>2397</v>
      </c>
      <c r="AJ4">
        <v>1905</v>
      </c>
      <c r="AK4">
        <v>427</v>
      </c>
      <c r="AL4">
        <v>492</v>
      </c>
      <c r="AM4">
        <v>0.81020000000000003</v>
      </c>
      <c r="AN4">
        <v>0.78749999999999998</v>
      </c>
      <c r="AO4">
        <v>0.81</v>
      </c>
    </row>
    <row r="5" spans="1:41" x14ac:dyDescent="0.3">
      <c r="A5" t="s">
        <v>16</v>
      </c>
      <c r="B5">
        <v>2178</v>
      </c>
      <c r="C5">
        <v>2297</v>
      </c>
      <c r="D5">
        <v>1969</v>
      </c>
      <c r="E5">
        <v>209</v>
      </c>
      <c r="F5">
        <v>328</v>
      </c>
      <c r="G5">
        <v>0.90400000000000003</v>
      </c>
      <c r="H5">
        <v>0.85719999999999996</v>
      </c>
      <c r="I5">
        <v>0.88</v>
      </c>
      <c r="J5">
        <v>708</v>
      </c>
      <c r="K5">
        <v>707</v>
      </c>
      <c r="L5">
        <v>643</v>
      </c>
      <c r="M5">
        <v>65</v>
      </c>
      <c r="N5">
        <v>64</v>
      </c>
      <c r="O5">
        <v>0.90820000000000001</v>
      </c>
      <c r="P5">
        <v>0.90949999999999998</v>
      </c>
      <c r="Q5">
        <v>0.90880000000000005</v>
      </c>
      <c r="R5">
        <v>1156</v>
      </c>
      <c r="S5">
        <v>1156</v>
      </c>
      <c r="T5">
        <v>973</v>
      </c>
      <c r="U5">
        <v>183</v>
      </c>
      <c r="V5">
        <v>183</v>
      </c>
      <c r="W5">
        <v>0.84099999999999997</v>
      </c>
      <c r="X5">
        <v>0.84099999999999997</v>
      </c>
      <c r="Y5">
        <v>0.84099999999999997</v>
      </c>
      <c r="Z5">
        <v>69</v>
      </c>
      <c r="AA5">
        <v>72</v>
      </c>
      <c r="AB5">
        <v>60</v>
      </c>
      <c r="AC5">
        <v>9</v>
      </c>
      <c r="AD5">
        <v>12</v>
      </c>
      <c r="AE5">
        <v>0.86960000000000004</v>
      </c>
      <c r="AF5">
        <v>0.83330000000000004</v>
      </c>
      <c r="AG5">
        <v>0.85109999999999997</v>
      </c>
      <c r="AH5">
        <v>1368</v>
      </c>
      <c r="AI5">
        <v>1425</v>
      </c>
      <c r="AJ5">
        <v>1196</v>
      </c>
      <c r="AK5">
        <v>172</v>
      </c>
      <c r="AL5">
        <v>229</v>
      </c>
      <c r="AM5">
        <v>0.86109999999999998</v>
      </c>
      <c r="AN5">
        <v>0.82279999999999998</v>
      </c>
      <c r="AO5">
        <v>0.86099999999999999</v>
      </c>
    </row>
    <row r="6" spans="1:41" x14ac:dyDescent="0.3">
      <c r="A6" t="s">
        <v>18</v>
      </c>
      <c r="B6">
        <v>8239</v>
      </c>
      <c r="C6">
        <v>8961</v>
      </c>
      <c r="D6">
        <v>7353</v>
      </c>
      <c r="E6">
        <v>886</v>
      </c>
      <c r="F6">
        <v>1608</v>
      </c>
      <c r="G6">
        <v>0.89249999999999996</v>
      </c>
      <c r="H6">
        <v>0.8206</v>
      </c>
      <c r="I6">
        <v>0.85499999999999998</v>
      </c>
      <c r="J6">
        <v>2317</v>
      </c>
      <c r="K6">
        <v>2486</v>
      </c>
      <c r="L6">
        <v>1931</v>
      </c>
      <c r="M6">
        <v>386</v>
      </c>
      <c r="N6">
        <v>555</v>
      </c>
      <c r="O6">
        <v>0.83340000000000003</v>
      </c>
      <c r="P6">
        <v>0.77669999999999995</v>
      </c>
      <c r="Q6">
        <v>0.80410000000000004</v>
      </c>
      <c r="R6">
        <v>3879</v>
      </c>
      <c r="S6">
        <v>3879</v>
      </c>
      <c r="T6">
        <v>3157</v>
      </c>
      <c r="U6">
        <v>722</v>
      </c>
      <c r="V6">
        <v>722</v>
      </c>
      <c r="W6">
        <v>0.81399999999999995</v>
      </c>
      <c r="X6">
        <v>0.81399999999999995</v>
      </c>
      <c r="Y6">
        <v>0.81399999999999995</v>
      </c>
      <c r="Z6">
        <v>143</v>
      </c>
      <c r="AA6">
        <v>149</v>
      </c>
      <c r="AB6">
        <v>117</v>
      </c>
      <c r="AC6">
        <v>26</v>
      </c>
      <c r="AD6">
        <v>32</v>
      </c>
      <c r="AE6">
        <v>0.81820000000000004</v>
      </c>
      <c r="AF6">
        <v>0.78520000000000001</v>
      </c>
      <c r="AG6">
        <v>0.8014</v>
      </c>
      <c r="AH6">
        <v>3922</v>
      </c>
      <c r="AI6">
        <v>4035</v>
      </c>
      <c r="AJ6">
        <v>3281</v>
      </c>
      <c r="AK6">
        <v>641</v>
      </c>
      <c r="AL6">
        <v>754</v>
      </c>
      <c r="AM6">
        <v>0.84730000000000005</v>
      </c>
      <c r="AN6">
        <v>0.82489999999999997</v>
      </c>
      <c r="AO6">
        <v>0.82399999999999995</v>
      </c>
    </row>
    <row r="7" spans="1:41" x14ac:dyDescent="0.3">
      <c r="A7" t="s">
        <v>20</v>
      </c>
      <c r="B7">
        <v>5245</v>
      </c>
      <c r="C7">
        <v>4958</v>
      </c>
      <c r="D7">
        <v>4423</v>
      </c>
      <c r="E7">
        <v>822</v>
      </c>
      <c r="F7">
        <v>535</v>
      </c>
      <c r="G7">
        <v>0.84330000000000005</v>
      </c>
      <c r="H7">
        <v>0.8921</v>
      </c>
      <c r="I7">
        <v>0.86699999999999999</v>
      </c>
      <c r="J7">
        <v>2169</v>
      </c>
      <c r="K7">
        <v>2580</v>
      </c>
      <c r="L7">
        <v>1971</v>
      </c>
      <c r="M7">
        <v>198</v>
      </c>
      <c r="N7">
        <v>609</v>
      </c>
      <c r="O7">
        <v>0.90869999999999995</v>
      </c>
      <c r="P7">
        <v>0.76400000000000001</v>
      </c>
      <c r="Q7">
        <v>0.83009999999999995</v>
      </c>
      <c r="R7">
        <v>2517</v>
      </c>
      <c r="S7">
        <v>2517</v>
      </c>
      <c r="T7">
        <v>2103</v>
      </c>
      <c r="U7">
        <v>414</v>
      </c>
      <c r="V7">
        <v>414</v>
      </c>
      <c r="W7">
        <v>0.83599999999999997</v>
      </c>
      <c r="X7">
        <v>0.83599999999999997</v>
      </c>
      <c r="Y7">
        <v>0.83599999999999997</v>
      </c>
      <c r="Z7">
        <v>88</v>
      </c>
      <c r="AA7">
        <v>92</v>
      </c>
      <c r="AB7">
        <v>74</v>
      </c>
      <c r="AC7">
        <v>14</v>
      </c>
      <c r="AD7">
        <v>18</v>
      </c>
      <c r="AE7">
        <v>0.84089999999999998</v>
      </c>
      <c r="AF7">
        <v>0.80430000000000001</v>
      </c>
      <c r="AG7">
        <v>0.82220000000000004</v>
      </c>
      <c r="AH7">
        <v>2397</v>
      </c>
      <c r="AI7">
        <v>2467</v>
      </c>
      <c r="AJ7">
        <v>1962</v>
      </c>
      <c r="AK7">
        <v>435</v>
      </c>
      <c r="AL7">
        <v>505</v>
      </c>
      <c r="AM7">
        <v>0.80669999999999997</v>
      </c>
      <c r="AN7">
        <v>0.78280000000000005</v>
      </c>
      <c r="AO7">
        <v>0.80700000000000005</v>
      </c>
    </row>
    <row r="8" spans="1:41" x14ac:dyDescent="0.3">
      <c r="A8" t="s">
        <v>22</v>
      </c>
      <c r="B8">
        <v>8239</v>
      </c>
      <c r="C8">
        <v>8761</v>
      </c>
      <c r="D8">
        <v>7123</v>
      </c>
      <c r="E8">
        <v>1116</v>
      </c>
      <c r="F8">
        <v>1638</v>
      </c>
      <c r="G8">
        <v>0.86450000000000005</v>
      </c>
      <c r="H8">
        <v>0.81299999999999994</v>
      </c>
      <c r="I8">
        <v>0.83799999999999997</v>
      </c>
      <c r="J8">
        <v>2317</v>
      </c>
      <c r="K8">
        <v>2826</v>
      </c>
      <c r="L8">
        <v>2106</v>
      </c>
      <c r="M8">
        <v>211</v>
      </c>
      <c r="N8">
        <v>720</v>
      </c>
      <c r="O8">
        <v>0.90890000000000004</v>
      </c>
      <c r="P8">
        <v>0.74519999999999997</v>
      </c>
      <c r="Q8">
        <v>0.81899999999999995</v>
      </c>
      <c r="R8">
        <v>3879</v>
      </c>
      <c r="S8">
        <v>3879</v>
      </c>
      <c r="T8">
        <v>3231</v>
      </c>
      <c r="U8">
        <v>648</v>
      </c>
      <c r="V8">
        <v>648</v>
      </c>
      <c r="W8">
        <v>0.83299999999999996</v>
      </c>
      <c r="X8">
        <v>0.83299999999999996</v>
      </c>
      <c r="Y8">
        <v>0.83299999999999996</v>
      </c>
      <c r="Z8">
        <v>140</v>
      </c>
      <c r="AA8">
        <v>146</v>
      </c>
      <c r="AB8">
        <v>118</v>
      </c>
      <c r="AC8">
        <v>22</v>
      </c>
      <c r="AD8">
        <v>28</v>
      </c>
      <c r="AE8">
        <v>0.84289999999999998</v>
      </c>
      <c r="AF8">
        <v>0.80820000000000003</v>
      </c>
      <c r="AG8">
        <v>0.82520000000000004</v>
      </c>
      <c r="AH8">
        <v>4414</v>
      </c>
      <c r="AI8">
        <v>4532</v>
      </c>
      <c r="AJ8">
        <v>3527</v>
      </c>
      <c r="AK8">
        <v>887</v>
      </c>
      <c r="AL8">
        <v>1005</v>
      </c>
      <c r="AM8">
        <v>0.78859999999999997</v>
      </c>
      <c r="AN8">
        <v>0.76719999999999999</v>
      </c>
      <c r="AO8">
        <v>0.78900000000000003</v>
      </c>
    </row>
    <row r="9" spans="1:41" x14ac:dyDescent="0.3">
      <c r="A9" t="s">
        <v>24</v>
      </c>
      <c r="B9">
        <v>2178</v>
      </c>
      <c r="C9">
        <v>3435</v>
      </c>
      <c r="D9">
        <v>1900</v>
      </c>
      <c r="E9">
        <v>278</v>
      </c>
      <c r="F9">
        <v>1535</v>
      </c>
      <c r="G9">
        <v>0.87239999999999995</v>
      </c>
      <c r="H9">
        <v>0.55310000000000004</v>
      </c>
      <c r="I9">
        <v>0.67700000000000005</v>
      </c>
      <c r="J9">
        <v>791</v>
      </c>
      <c r="K9">
        <v>1162</v>
      </c>
      <c r="L9">
        <v>660</v>
      </c>
      <c r="M9">
        <v>131</v>
      </c>
      <c r="N9">
        <v>502</v>
      </c>
      <c r="O9">
        <v>0.83440000000000003</v>
      </c>
      <c r="P9">
        <v>0.56799999999999995</v>
      </c>
      <c r="Q9">
        <v>0.67589999999999995</v>
      </c>
      <c r="R9">
        <v>3208</v>
      </c>
      <c r="S9">
        <v>4278</v>
      </c>
      <c r="T9">
        <v>2246</v>
      </c>
      <c r="U9">
        <v>962</v>
      </c>
      <c r="V9">
        <v>2032</v>
      </c>
      <c r="W9">
        <v>0.7</v>
      </c>
      <c r="X9">
        <v>0.52500000000000002</v>
      </c>
      <c r="Y9">
        <v>0.6</v>
      </c>
      <c r="Z9">
        <v>167</v>
      </c>
      <c r="AA9">
        <v>175</v>
      </c>
      <c r="AB9">
        <v>115</v>
      </c>
      <c r="AC9">
        <v>52</v>
      </c>
      <c r="AD9">
        <v>60</v>
      </c>
      <c r="AE9">
        <v>0.68859999999999999</v>
      </c>
      <c r="AF9">
        <v>0.65710000000000002</v>
      </c>
      <c r="AG9">
        <v>0.67249999999999999</v>
      </c>
      <c r="AH9">
        <v>3802</v>
      </c>
      <c r="AI9">
        <v>3879</v>
      </c>
      <c r="AJ9">
        <v>3355</v>
      </c>
      <c r="AK9">
        <v>447</v>
      </c>
      <c r="AL9">
        <v>524</v>
      </c>
      <c r="AM9">
        <v>0.87309999999999999</v>
      </c>
      <c r="AN9">
        <v>0.85440000000000005</v>
      </c>
      <c r="AO9">
        <v>0.874</v>
      </c>
    </row>
    <row r="10" spans="1:41" x14ac:dyDescent="0.3">
      <c r="A10" t="s">
        <v>26</v>
      </c>
      <c r="B10">
        <v>8250</v>
      </c>
      <c r="C10">
        <v>13750</v>
      </c>
      <c r="D10">
        <v>7403</v>
      </c>
      <c r="E10">
        <v>847</v>
      </c>
      <c r="F10">
        <v>6347</v>
      </c>
      <c r="G10">
        <v>0.89729999999999999</v>
      </c>
      <c r="H10">
        <v>0.53839999999999999</v>
      </c>
      <c r="I10">
        <v>0.67300000000000004</v>
      </c>
      <c r="J10">
        <v>2520</v>
      </c>
      <c r="K10">
        <v>2949</v>
      </c>
      <c r="L10">
        <v>2100</v>
      </c>
      <c r="M10">
        <v>420</v>
      </c>
      <c r="N10">
        <v>849</v>
      </c>
      <c r="O10">
        <v>0.83330000000000004</v>
      </c>
      <c r="P10">
        <v>0.71209999999999996</v>
      </c>
      <c r="Q10">
        <v>0.76800000000000002</v>
      </c>
      <c r="R10">
        <v>6563</v>
      </c>
      <c r="S10">
        <v>6563</v>
      </c>
      <c r="T10">
        <v>4660</v>
      </c>
      <c r="U10">
        <v>1903</v>
      </c>
      <c r="V10">
        <v>1903</v>
      </c>
      <c r="W10">
        <v>0.71</v>
      </c>
      <c r="X10">
        <v>0.71</v>
      </c>
      <c r="Y10">
        <v>0.71</v>
      </c>
      <c r="Z10">
        <v>224</v>
      </c>
      <c r="AA10">
        <v>234</v>
      </c>
      <c r="AB10">
        <v>169</v>
      </c>
      <c r="AC10">
        <v>55</v>
      </c>
      <c r="AD10">
        <v>65</v>
      </c>
      <c r="AE10">
        <v>0.75449999999999995</v>
      </c>
      <c r="AF10">
        <v>0.72219999999999995</v>
      </c>
      <c r="AG10">
        <v>0.73799999999999999</v>
      </c>
      <c r="AH10">
        <v>6434</v>
      </c>
      <c r="AI10">
        <v>6559</v>
      </c>
      <c r="AJ10">
        <v>5118</v>
      </c>
      <c r="AK10">
        <v>1316</v>
      </c>
      <c r="AL10">
        <v>1441</v>
      </c>
      <c r="AM10">
        <v>0.78690000000000004</v>
      </c>
      <c r="AN10">
        <v>0.77129999999999999</v>
      </c>
      <c r="AO10">
        <v>0.78700000000000003</v>
      </c>
    </row>
    <row r="11" spans="1:41" x14ac:dyDescent="0.3">
      <c r="A11" t="s">
        <v>28</v>
      </c>
      <c r="B11">
        <v>2178</v>
      </c>
      <c r="C11">
        <v>3822</v>
      </c>
      <c r="D11">
        <v>1878</v>
      </c>
      <c r="E11">
        <v>300</v>
      </c>
      <c r="F11">
        <v>1944</v>
      </c>
      <c r="G11">
        <v>0.86229999999999996</v>
      </c>
      <c r="H11">
        <v>0.4914</v>
      </c>
      <c r="I11">
        <v>0.626</v>
      </c>
      <c r="J11">
        <v>791</v>
      </c>
      <c r="K11">
        <v>993</v>
      </c>
      <c r="L11">
        <v>660</v>
      </c>
      <c r="M11">
        <v>131</v>
      </c>
      <c r="N11">
        <v>333</v>
      </c>
      <c r="O11">
        <v>0.83440000000000003</v>
      </c>
      <c r="P11">
        <v>0.66469999999999996</v>
      </c>
      <c r="Q11">
        <v>0.7399</v>
      </c>
      <c r="R11">
        <v>3208</v>
      </c>
      <c r="S11">
        <v>3208</v>
      </c>
      <c r="T11">
        <v>2271</v>
      </c>
      <c r="U11">
        <v>937</v>
      </c>
      <c r="V11">
        <v>937</v>
      </c>
      <c r="W11">
        <v>0.70799999999999996</v>
      </c>
      <c r="X11">
        <v>0.70799999999999996</v>
      </c>
      <c r="Y11">
        <v>0.70799999999999996</v>
      </c>
      <c r="Z11">
        <v>119</v>
      </c>
      <c r="AA11">
        <v>125</v>
      </c>
      <c r="AB11">
        <v>85</v>
      </c>
      <c r="AC11">
        <v>34</v>
      </c>
      <c r="AD11">
        <v>40</v>
      </c>
      <c r="AE11">
        <v>0.71430000000000005</v>
      </c>
      <c r="AF11">
        <v>0.68</v>
      </c>
      <c r="AG11">
        <v>0.69669999999999999</v>
      </c>
      <c r="AH11">
        <v>3694</v>
      </c>
      <c r="AI11">
        <v>3786</v>
      </c>
      <c r="AJ11">
        <v>2965</v>
      </c>
      <c r="AK11">
        <v>729</v>
      </c>
      <c r="AL11">
        <v>821</v>
      </c>
      <c r="AM11">
        <v>0.79290000000000005</v>
      </c>
      <c r="AN11">
        <v>0.77290000000000003</v>
      </c>
      <c r="AO11">
        <v>0.79300000000000004</v>
      </c>
    </row>
    <row r="12" spans="1:41" x14ac:dyDescent="0.3">
      <c r="A12" t="s">
        <v>30</v>
      </c>
      <c r="B12">
        <v>8250</v>
      </c>
      <c r="C12">
        <v>14750</v>
      </c>
      <c r="D12">
        <v>7452</v>
      </c>
      <c r="E12">
        <v>798</v>
      </c>
      <c r="F12">
        <v>7298</v>
      </c>
      <c r="G12">
        <v>0.90329999999999999</v>
      </c>
      <c r="H12">
        <v>0.50519999999999998</v>
      </c>
      <c r="I12">
        <v>0.64800000000000002</v>
      </c>
      <c r="J12">
        <v>2522</v>
      </c>
      <c r="K12">
        <v>3051</v>
      </c>
      <c r="L12">
        <v>2102</v>
      </c>
      <c r="M12">
        <v>420</v>
      </c>
      <c r="N12">
        <v>949</v>
      </c>
      <c r="O12">
        <v>0.83330000000000004</v>
      </c>
      <c r="P12">
        <v>0.6885</v>
      </c>
      <c r="Q12">
        <v>0.754</v>
      </c>
      <c r="R12">
        <v>6563</v>
      </c>
      <c r="S12">
        <v>6563</v>
      </c>
      <c r="T12">
        <v>4717</v>
      </c>
      <c r="U12">
        <v>1846</v>
      </c>
      <c r="V12">
        <v>1846</v>
      </c>
      <c r="W12">
        <v>0.71899999999999997</v>
      </c>
      <c r="X12">
        <v>0.71899999999999997</v>
      </c>
      <c r="Y12">
        <v>0.71899999999999997</v>
      </c>
      <c r="Z12">
        <v>192</v>
      </c>
      <c r="AA12">
        <v>202</v>
      </c>
      <c r="AB12">
        <v>147</v>
      </c>
      <c r="AC12">
        <v>45</v>
      </c>
      <c r="AD12">
        <v>55</v>
      </c>
      <c r="AE12">
        <v>0.76559999999999995</v>
      </c>
      <c r="AF12">
        <v>0.72770000000000001</v>
      </c>
      <c r="AG12">
        <v>0.74619999999999997</v>
      </c>
      <c r="AH12">
        <v>6475</v>
      </c>
      <c r="AI12">
        <v>6650</v>
      </c>
      <c r="AJ12">
        <v>4979</v>
      </c>
      <c r="AK12">
        <v>1496</v>
      </c>
      <c r="AL12">
        <v>1671</v>
      </c>
      <c r="AM12">
        <v>0.75800000000000001</v>
      </c>
      <c r="AN12">
        <v>0.73699999999999999</v>
      </c>
      <c r="AO12">
        <v>0.75800000000000001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2983-2DEC-44EB-9AAB-24E148BD014E}">
  <dimension ref="A1:K56"/>
  <sheetViews>
    <sheetView workbookViewId="0">
      <selection activeCell="H70" sqref="H70"/>
    </sheetView>
  </sheetViews>
  <sheetFormatPr defaultRowHeight="14.4" x14ac:dyDescent="0.3"/>
  <cols>
    <col min="1" max="16384" width="8.88671875" style="5"/>
  </cols>
  <sheetData>
    <row r="1" spans="1:11" x14ac:dyDescent="0.3">
      <c r="A1" s="5" t="s">
        <v>33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x14ac:dyDescent="0.3">
      <c r="A2" s="10" t="s">
        <v>32</v>
      </c>
      <c r="B2" s="5" t="s">
        <v>10</v>
      </c>
      <c r="C2" s="5" t="s">
        <v>11</v>
      </c>
      <c r="D2" s="5">
        <v>2178</v>
      </c>
      <c r="E2" s="5">
        <v>2173</v>
      </c>
      <c r="F2" s="5">
        <v>1847</v>
      </c>
      <c r="G2" s="5">
        <v>331</v>
      </c>
      <c r="H2" s="5">
        <v>326</v>
      </c>
      <c r="I2" s="5">
        <v>0.84799999999999998</v>
      </c>
      <c r="J2" s="5">
        <v>0.85</v>
      </c>
      <c r="K2" s="5">
        <v>0.84899999999999998</v>
      </c>
    </row>
    <row r="3" spans="1:11" x14ac:dyDescent="0.3">
      <c r="A3" s="10"/>
      <c r="B3" s="5" t="s">
        <v>12</v>
      </c>
      <c r="C3" s="5" t="s">
        <v>13</v>
      </c>
      <c r="D3" s="5">
        <v>2177</v>
      </c>
      <c r="E3" s="5">
        <v>2823</v>
      </c>
      <c r="F3" s="5">
        <v>1960</v>
      </c>
      <c r="G3" s="5">
        <v>217</v>
      </c>
      <c r="H3" s="5">
        <v>863</v>
      </c>
      <c r="I3" s="5">
        <v>0.90029999999999999</v>
      </c>
      <c r="J3" s="5">
        <v>0.69430000000000003</v>
      </c>
      <c r="K3" s="5">
        <v>0.78400000000000003</v>
      </c>
    </row>
    <row r="4" spans="1:11" x14ac:dyDescent="0.3">
      <c r="A4" s="10"/>
      <c r="B4" s="5" t="s">
        <v>14</v>
      </c>
      <c r="C4" s="5" t="s">
        <v>15</v>
      </c>
      <c r="D4" s="5">
        <v>5246</v>
      </c>
      <c r="E4" s="5">
        <v>5754</v>
      </c>
      <c r="F4" s="5">
        <v>4587</v>
      </c>
      <c r="G4" s="5">
        <v>659</v>
      </c>
      <c r="H4" s="5">
        <v>1167</v>
      </c>
      <c r="I4" s="5">
        <v>0.87439999999999996</v>
      </c>
      <c r="J4" s="5">
        <v>0.79720000000000002</v>
      </c>
      <c r="K4" s="5">
        <v>0.83399999999999996</v>
      </c>
    </row>
    <row r="5" spans="1:11" x14ac:dyDescent="0.3">
      <c r="A5" s="10"/>
      <c r="B5" s="5" t="s">
        <v>16</v>
      </c>
      <c r="C5" s="5" t="s">
        <v>17</v>
      </c>
      <c r="D5" s="5">
        <v>2178</v>
      </c>
      <c r="E5" s="5">
        <v>2297</v>
      </c>
      <c r="F5" s="5">
        <v>1969</v>
      </c>
      <c r="G5" s="5">
        <v>209</v>
      </c>
      <c r="H5" s="5">
        <v>328</v>
      </c>
      <c r="I5" s="5">
        <v>0.90400000000000003</v>
      </c>
      <c r="J5" s="5">
        <v>0.85719999999999996</v>
      </c>
      <c r="K5" s="5">
        <v>0.88</v>
      </c>
    </row>
    <row r="6" spans="1:11" x14ac:dyDescent="0.3">
      <c r="A6" s="10"/>
      <c r="B6" s="5" t="s">
        <v>18</v>
      </c>
      <c r="C6" s="5" t="s">
        <v>19</v>
      </c>
      <c r="D6" s="5">
        <v>8239</v>
      </c>
      <c r="E6" s="5">
        <v>8961</v>
      </c>
      <c r="F6" s="5">
        <v>7353</v>
      </c>
      <c r="G6" s="5">
        <v>886</v>
      </c>
      <c r="H6" s="5">
        <v>1608</v>
      </c>
      <c r="I6" s="5">
        <v>0.89249999999999996</v>
      </c>
      <c r="J6" s="5">
        <v>0.8206</v>
      </c>
      <c r="K6" s="5">
        <v>0.85499999999999998</v>
      </c>
    </row>
    <row r="7" spans="1:11" x14ac:dyDescent="0.3">
      <c r="A7" s="10"/>
      <c r="B7" s="5" t="s">
        <v>20</v>
      </c>
      <c r="C7" s="5" t="s">
        <v>21</v>
      </c>
      <c r="D7" s="5">
        <v>5245</v>
      </c>
      <c r="E7" s="5">
        <v>4958</v>
      </c>
      <c r="F7" s="5">
        <v>4423</v>
      </c>
      <c r="G7" s="5">
        <v>822</v>
      </c>
      <c r="H7" s="5">
        <v>535</v>
      </c>
      <c r="I7" s="5">
        <v>0.84330000000000005</v>
      </c>
      <c r="J7" s="5">
        <v>0.8921</v>
      </c>
      <c r="K7" s="5">
        <v>0.86699999999999999</v>
      </c>
    </row>
    <row r="8" spans="1:11" x14ac:dyDescent="0.3">
      <c r="A8" s="10"/>
      <c r="B8" s="5" t="s">
        <v>22</v>
      </c>
      <c r="C8" s="5" t="s">
        <v>23</v>
      </c>
      <c r="D8" s="5">
        <v>8239</v>
      </c>
      <c r="E8" s="5">
        <v>8761</v>
      </c>
      <c r="F8" s="5">
        <v>7123</v>
      </c>
      <c r="G8" s="5">
        <v>1116</v>
      </c>
      <c r="H8" s="5">
        <v>1638</v>
      </c>
      <c r="I8" s="5">
        <v>0.86450000000000005</v>
      </c>
      <c r="J8" s="5">
        <v>0.81299999999999994</v>
      </c>
      <c r="K8" s="5">
        <v>0.83799999999999997</v>
      </c>
    </row>
    <row r="9" spans="1:11" x14ac:dyDescent="0.3">
      <c r="A9" s="10"/>
      <c r="B9" s="5" t="s">
        <v>24</v>
      </c>
      <c r="C9" s="5" t="s">
        <v>25</v>
      </c>
      <c r="D9" s="5">
        <v>2178</v>
      </c>
      <c r="E9" s="5">
        <v>3435</v>
      </c>
      <c r="F9" s="5">
        <v>1900</v>
      </c>
      <c r="G9" s="5">
        <v>278</v>
      </c>
      <c r="H9" s="5">
        <v>1535</v>
      </c>
      <c r="I9" s="5">
        <v>0.87239999999999995</v>
      </c>
      <c r="J9" s="5">
        <v>0.55310000000000004</v>
      </c>
      <c r="K9" s="5">
        <v>0.67700000000000005</v>
      </c>
    </row>
    <row r="10" spans="1:11" x14ac:dyDescent="0.3">
      <c r="A10" s="10"/>
      <c r="B10" s="5" t="s">
        <v>26</v>
      </c>
      <c r="C10" s="5" t="s">
        <v>27</v>
      </c>
      <c r="D10" s="5">
        <v>8250</v>
      </c>
      <c r="E10" s="5">
        <v>13750</v>
      </c>
      <c r="F10" s="5">
        <v>7403</v>
      </c>
      <c r="G10" s="5">
        <v>847</v>
      </c>
      <c r="H10" s="5">
        <v>6347</v>
      </c>
      <c r="I10" s="5">
        <v>0.89729999999999999</v>
      </c>
      <c r="J10" s="5">
        <v>0.53839999999999999</v>
      </c>
      <c r="K10" s="5">
        <v>0.67300000000000004</v>
      </c>
    </row>
    <row r="11" spans="1:11" x14ac:dyDescent="0.3">
      <c r="A11" s="10"/>
      <c r="B11" s="5" t="s">
        <v>28</v>
      </c>
      <c r="C11" s="5" t="s">
        <v>29</v>
      </c>
      <c r="D11" s="5">
        <v>2178</v>
      </c>
      <c r="E11" s="5">
        <v>3822</v>
      </c>
      <c r="F11" s="5">
        <v>1878</v>
      </c>
      <c r="G11" s="5">
        <v>300</v>
      </c>
      <c r="H11" s="5">
        <v>1944</v>
      </c>
      <c r="I11" s="5">
        <v>0.86229999999999996</v>
      </c>
      <c r="J11" s="5">
        <v>0.4914</v>
      </c>
      <c r="K11" s="5">
        <v>0.626</v>
      </c>
    </row>
    <row r="12" spans="1:11" x14ac:dyDescent="0.3">
      <c r="A12" s="10"/>
      <c r="B12" s="5" t="s">
        <v>30</v>
      </c>
      <c r="C12" s="5" t="s">
        <v>31</v>
      </c>
      <c r="D12" s="5">
        <v>8250</v>
      </c>
      <c r="E12" s="5">
        <v>14750</v>
      </c>
      <c r="F12" s="5">
        <v>7452</v>
      </c>
      <c r="G12" s="5">
        <v>798</v>
      </c>
      <c r="H12" s="5">
        <v>7298</v>
      </c>
      <c r="I12" s="5">
        <v>0.90329999999999999</v>
      </c>
      <c r="J12" s="5">
        <v>0.50519999999999998</v>
      </c>
      <c r="K12" s="5">
        <v>0.64800000000000002</v>
      </c>
    </row>
    <row r="13" spans="1:11" x14ac:dyDescent="0.3">
      <c r="A13" s="11" t="s">
        <v>75</v>
      </c>
      <c r="B13" s="5" t="s">
        <v>10</v>
      </c>
      <c r="C13" s="5" t="s">
        <v>11</v>
      </c>
      <c r="D13" s="5">
        <v>673</v>
      </c>
      <c r="E13" s="5">
        <v>623</v>
      </c>
      <c r="F13" s="5">
        <v>600</v>
      </c>
      <c r="G13" s="5">
        <v>73</v>
      </c>
      <c r="H13" s="5">
        <v>23</v>
      </c>
      <c r="I13" s="5">
        <v>0.89149999999999996</v>
      </c>
      <c r="J13" s="5">
        <v>0.96309999999999996</v>
      </c>
      <c r="K13" s="5">
        <v>0.93210000000000004</v>
      </c>
    </row>
    <row r="14" spans="1:11" x14ac:dyDescent="0.3">
      <c r="A14" s="11"/>
      <c r="B14" s="5" t="s">
        <v>12</v>
      </c>
      <c r="C14" s="5" t="s">
        <v>13</v>
      </c>
      <c r="D14" s="5">
        <v>785</v>
      </c>
      <c r="E14" s="5">
        <v>709</v>
      </c>
      <c r="F14" s="5">
        <v>655</v>
      </c>
      <c r="G14" s="5">
        <v>130</v>
      </c>
      <c r="H14" s="5">
        <v>54</v>
      </c>
      <c r="I14" s="5">
        <v>0.83440000000000003</v>
      </c>
      <c r="J14" s="5">
        <v>0.92379999999999995</v>
      </c>
      <c r="K14" s="5">
        <v>0.87680000000000002</v>
      </c>
    </row>
    <row r="15" spans="1:11" x14ac:dyDescent="0.3">
      <c r="A15" s="11"/>
      <c r="B15" s="5" t="s">
        <v>14</v>
      </c>
      <c r="C15" s="5" t="s">
        <v>15</v>
      </c>
      <c r="D15" s="5">
        <v>2169</v>
      </c>
      <c r="E15" s="5">
        <v>2226</v>
      </c>
      <c r="F15" s="5">
        <v>1971</v>
      </c>
      <c r="G15" s="5">
        <v>198</v>
      </c>
      <c r="H15" s="5">
        <v>255</v>
      </c>
      <c r="I15" s="5">
        <v>0.90869999999999995</v>
      </c>
      <c r="J15" s="5">
        <v>0.88539999999999996</v>
      </c>
      <c r="K15" s="5">
        <v>0.89690000000000003</v>
      </c>
    </row>
    <row r="16" spans="1:11" x14ac:dyDescent="0.3">
      <c r="A16" s="11"/>
      <c r="B16" s="5" t="s">
        <v>16</v>
      </c>
      <c r="C16" s="5" t="s">
        <v>17</v>
      </c>
      <c r="D16" s="5">
        <v>708</v>
      </c>
      <c r="E16" s="5">
        <v>707</v>
      </c>
      <c r="F16" s="5">
        <v>643</v>
      </c>
      <c r="G16" s="5">
        <v>65</v>
      </c>
      <c r="H16" s="5">
        <v>64</v>
      </c>
      <c r="I16" s="5">
        <v>0.90820000000000001</v>
      </c>
      <c r="J16" s="5">
        <v>0.90949999999999998</v>
      </c>
      <c r="K16" s="5">
        <v>0.90880000000000005</v>
      </c>
    </row>
    <row r="17" spans="1:11" x14ac:dyDescent="0.3">
      <c r="A17" s="11"/>
      <c r="B17" s="5" t="s">
        <v>18</v>
      </c>
      <c r="C17" s="5" t="s">
        <v>19</v>
      </c>
      <c r="D17" s="5">
        <v>2317</v>
      </c>
      <c r="E17" s="5">
        <v>2486</v>
      </c>
      <c r="F17" s="5">
        <v>1931</v>
      </c>
      <c r="G17" s="5">
        <v>386</v>
      </c>
      <c r="H17" s="5">
        <v>555</v>
      </c>
      <c r="I17" s="5">
        <v>0.83340000000000003</v>
      </c>
      <c r="J17" s="5">
        <v>0.77669999999999995</v>
      </c>
      <c r="K17" s="5">
        <v>0.80410000000000004</v>
      </c>
    </row>
    <row r="18" spans="1:11" x14ac:dyDescent="0.3">
      <c r="A18" s="11"/>
      <c r="B18" s="5" t="s">
        <v>20</v>
      </c>
      <c r="C18" s="5" t="s">
        <v>21</v>
      </c>
      <c r="D18" s="5">
        <v>2169</v>
      </c>
      <c r="E18" s="5">
        <v>2580</v>
      </c>
      <c r="F18" s="5">
        <v>1971</v>
      </c>
      <c r="G18" s="5">
        <v>198</v>
      </c>
      <c r="H18" s="5">
        <v>609</v>
      </c>
      <c r="I18" s="5">
        <v>0.90869999999999995</v>
      </c>
      <c r="J18" s="5">
        <v>0.76400000000000001</v>
      </c>
      <c r="K18" s="5">
        <v>0.83009999999999995</v>
      </c>
    </row>
    <row r="19" spans="1:11" x14ac:dyDescent="0.3">
      <c r="A19" s="11"/>
      <c r="B19" s="5" t="s">
        <v>22</v>
      </c>
      <c r="C19" s="5" t="s">
        <v>23</v>
      </c>
      <c r="D19" s="5">
        <v>2317</v>
      </c>
      <c r="E19" s="5">
        <v>2826</v>
      </c>
      <c r="F19" s="5">
        <v>2106</v>
      </c>
      <c r="G19" s="5">
        <v>211</v>
      </c>
      <c r="H19" s="5">
        <v>720</v>
      </c>
      <c r="I19" s="5">
        <v>0.90890000000000004</v>
      </c>
      <c r="J19" s="5">
        <v>0.74519999999999997</v>
      </c>
      <c r="K19" s="5">
        <v>0.81899999999999995</v>
      </c>
    </row>
    <row r="20" spans="1:11" x14ac:dyDescent="0.3">
      <c r="A20" s="11"/>
      <c r="B20" s="5" t="s">
        <v>24</v>
      </c>
      <c r="C20" s="5" t="s">
        <v>25</v>
      </c>
      <c r="D20" s="5">
        <v>791</v>
      </c>
      <c r="E20" s="5">
        <v>1162</v>
      </c>
      <c r="F20" s="5">
        <v>660</v>
      </c>
      <c r="G20" s="5">
        <v>131</v>
      </c>
      <c r="H20" s="5">
        <v>502</v>
      </c>
      <c r="I20" s="5">
        <v>0.83440000000000003</v>
      </c>
      <c r="J20" s="5">
        <v>0.56799999999999995</v>
      </c>
      <c r="K20" s="5">
        <v>0.67589999999999995</v>
      </c>
    </row>
    <row r="21" spans="1:11" x14ac:dyDescent="0.3">
      <c r="A21" s="11"/>
      <c r="B21" s="5" t="s">
        <v>26</v>
      </c>
      <c r="C21" s="5" t="s">
        <v>27</v>
      </c>
      <c r="D21" s="5">
        <v>2520</v>
      </c>
      <c r="E21" s="5">
        <v>2949</v>
      </c>
      <c r="F21" s="5">
        <v>2100</v>
      </c>
      <c r="G21" s="5">
        <v>420</v>
      </c>
      <c r="H21" s="5">
        <v>849</v>
      </c>
      <c r="I21" s="5">
        <v>0.83330000000000004</v>
      </c>
      <c r="J21" s="5">
        <v>0.71209999999999996</v>
      </c>
      <c r="K21" s="5">
        <v>0.76800000000000002</v>
      </c>
    </row>
    <row r="22" spans="1:11" x14ac:dyDescent="0.3">
      <c r="A22" s="11"/>
      <c r="B22" s="5" t="s">
        <v>28</v>
      </c>
      <c r="C22" s="5" t="s">
        <v>29</v>
      </c>
      <c r="D22" s="5">
        <v>791</v>
      </c>
      <c r="E22" s="5">
        <v>993</v>
      </c>
      <c r="F22" s="5">
        <v>660</v>
      </c>
      <c r="G22" s="5">
        <v>131</v>
      </c>
      <c r="H22" s="5">
        <v>333</v>
      </c>
      <c r="I22" s="5">
        <v>0.83440000000000003</v>
      </c>
      <c r="J22" s="5">
        <v>0.66469999999999996</v>
      </c>
      <c r="K22" s="5">
        <v>0.7399</v>
      </c>
    </row>
    <row r="23" spans="1:11" x14ac:dyDescent="0.3">
      <c r="A23" s="11"/>
      <c r="B23" s="5" t="s">
        <v>30</v>
      </c>
      <c r="C23" s="5" t="s">
        <v>31</v>
      </c>
      <c r="D23" s="5">
        <v>2522</v>
      </c>
      <c r="E23" s="5">
        <v>3051</v>
      </c>
      <c r="F23" s="5">
        <v>2102</v>
      </c>
      <c r="G23" s="5">
        <v>420</v>
      </c>
      <c r="H23" s="5">
        <v>949</v>
      </c>
      <c r="I23" s="5">
        <v>0.83330000000000004</v>
      </c>
      <c r="J23" s="5">
        <v>0.6885</v>
      </c>
      <c r="K23" s="5">
        <v>0.754</v>
      </c>
    </row>
    <row r="24" spans="1:11" x14ac:dyDescent="0.3">
      <c r="A24" s="11" t="s">
        <v>34</v>
      </c>
      <c r="B24" s="5" t="s">
        <v>10</v>
      </c>
      <c r="C24" s="5" t="s">
        <v>11</v>
      </c>
      <c r="D24" s="5">
        <v>1156</v>
      </c>
      <c r="E24" s="5">
        <v>1156</v>
      </c>
      <c r="F24" s="5">
        <v>1099</v>
      </c>
      <c r="G24" s="5">
        <v>57</v>
      </c>
      <c r="H24" s="5">
        <v>57</v>
      </c>
      <c r="I24" s="5">
        <v>0.95099999999999996</v>
      </c>
      <c r="J24" s="5">
        <v>0.95099999999999996</v>
      </c>
      <c r="K24" s="5">
        <v>0.95099999999999996</v>
      </c>
    </row>
    <row r="25" spans="1:11" x14ac:dyDescent="0.3">
      <c r="A25" s="11"/>
      <c r="B25" s="5" t="s">
        <v>12</v>
      </c>
      <c r="C25" s="5" t="s">
        <v>13</v>
      </c>
      <c r="D25" s="5">
        <v>2056</v>
      </c>
      <c r="E25" s="5">
        <v>2056</v>
      </c>
      <c r="F25" s="5">
        <v>1721</v>
      </c>
      <c r="G25" s="5">
        <v>335</v>
      </c>
      <c r="H25" s="5">
        <v>335</v>
      </c>
      <c r="I25" s="5">
        <v>0.83699999999999997</v>
      </c>
      <c r="J25" s="5">
        <v>0.83699999999999997</v>
      </c>
      <c r="K25" s="5">
        <v>0.83699999999999997</v>
      </c>
    </row>
    <row r="26" spans="1:11" x14ac:dyDescent="0.3">
      <c r="A26" s="11"/>
      <c r="B26" s="5" t="s">
        <v>14</v>
      </c>
      <c r="C26" s="5" t="s">
        <v>15</v>
      </c>
      <c r="D26" s="5">
        <v>2517</v>
      </c>
      <c r="E26" s="5">
        <v>2517</v>
      </c>
      <c r="F26" s="5">
        <v>2086</v>
      </c>
      <c r="G26" s="5">
        <v>431</v>
      </c>
      <c r="H26" s="5">
        <v>431</v>
      </c>
      <c r="I26" s="5">
        <v>0.82899999999999996</v>
      </c>
      <c r="J26" s="5">
        <v>0.82899999999999996</v>
      </c>
      <c r="K26" s="5">
        <v>0.82899999999999996</v>
      </c>
    </row>
    <row r="27" spans="1:11" x14ac:dyDescent="0.3">
      <c r="A27" s="11"/>
      <c r="B27" s="5" t="s">
        <v>16</v>
      </c>
      <c r="C27" s="5" t="s">
        <v>17</v>
      </c>
      <c r="D27" s="5">
        <v>1156</v>
      </c>
      <c r="E27" s="5">
        <v>1156</v>
      </c>
      <c r="F27" s="5">
        <v>973</v>
      </c>
      <c r="G27" s="5">
        <v>183</v>
      </c>
      <c r="H27" s="5">
        <v>183</v>
      </c>
      <c r="I27" s="5">
        <v>0.84099999999999997</v>
      </c>
      <c r="J27" s="5">
        <v>0.84099999999999997</v>
      </c>
      <c r="K27" s="5">
        <v>0.84099999999999997</v>
      </c>
    </row>
    <row r="28" spans="1:11" x14ac:dyDescent="0.3">
      <c r="A28" s="11"/>
      <c r="B28" s="5" t="s">
        <v>18</v>
      </c>
      <c r="C28" s="5" t="s">
        <v>19</v>
      </c>
      <c r="D28" s="5">
        <v>3879</v>
      </c>
      <c r="E28" s="5">
        <v>3879</v>
      </c>
      <c r="F28" s="5">
        <v>3157</v>
      </c>
      <c r="G28" s="5">
        <v>722</v>
      </c>
      <c r="H28" s="5">
        <v>722</v>
      </c>
      <c r="I28" s="5">
        <v>0.81399999999999995</v>
      </c>
      <c r="J28" s="5">
        <v>0.81399999999999995</v>
      </c>
      <c r="K28" s="5">
        <v>0.81399999999999995</v>
      </c>
    </row>
    <row r="29" spans="1:11" x14ac:dyDescent="0.3">
      <c r="A29" s="11"/>
      <c r="B29" s="5" t="s">
        <v>20</v>
      </c>
      <c r="C29" s="5" t="s">
        <v>21</v>
      </c>
      <c r="D29" s="5">
        <v>2517</v>
      </c>
      <c r="E29" s="5">
        <v>2517</v>
      </c>
      <c r="F29" s="5">
        <v>2103</v>
      </c>
      <c r="G29" s="5">
        <v>414</v>
      </c>
      <c r="H29" s="5">
        <v>414</v>
      </c>
      <c r="I29" s="5">
        <v>0.83599999999999997</v>
      </c>
      <c r="J29" s="5">
        <v>0.83599999999999997</v>
      </c>
      <c r="K29" s="5">
        <v>0.83599999999999997</v>
      </c>
    </row>
    <row r="30" spans="1:11" x14ac:dyDescent="0.3">
      <c r="A30" s="11"/>
      <c r="B30" s="5" t="s">
        <v>22</v>
      </c>
      <c r="C30" s="5" t="s">
        <v>23</v>
      </c>
      <c r="D30" s="5">
        <v>3879</v>
      </c>
      <c r="E30" s="5">
        <v>3879</v>
      </c>
      <c r="F30" s="5">
        <v>3231</v>
      </c>
      <c r="G30" s="5">
        <v>648</v>
      </c>
      <c r="H30" s="5">
        <v>648</v>
      </c>
      <c r="I30" s="5">
        <v>0.83299999999999996</v>
      </c>
      <c r="J30" s="5">
        <v>0.83299999999999996</v>
      </c>
      <c r="K30" s="5">
        <v>0.83299999999999996</v>
      </c>
    </row>
    <row r="31" spans="1:11" x14ac:dyDescent="0.3">
      <c r="A31" s="11"/>
      <c r="B31" s="5" t="s">
        <v>24</v>
      </c>
      <c r="C31" s="5" t="s">
        <v>25</v>
      </c>
      <c r="D31" s="5">
        <v>3208</v>
      </c>
      <c r="E31" s="5">
        <v>4278</v>
      </c>
      <c r="F31" s="5">
        <v>2246</v>
      </c>
      <c r="G31" s="5">
        <v>962</v>
      </c>
      <c r="H31" s="5">
        <v>2032</v>
      </c>
      <c r="I31" s="5">
        <v>0.7</v>
      </c>
      <c r="J31" s="5">
        <v>0.52500000000000002</v>
      </c>
      <c r="K31" s="5">
        <v>0.6</v>
      </c>
    </row>
    <row r="32" spans="1:11" x14ac:dyDescent="0.3">
      <c r="A32" s="11"/>
      <c r="B32" s="5" t="s">
        <v>26</v>
      </c>
      <c r="C32" s="5" t="s">
        <v>27</v>
      </c>
      <c r="D32" s="5">
        <v>6563</v>
      </c>
      <c r="E32" s="5">
        <v>6563</v>
      </c>
      <c r="F32" s="5">
        <v>4660</v>
      </c>
      <c r="G32" s="5">
        <v>1903</v>
      </c>
      <c r="H32" s="5">
        <v>1903</v>
      </c>
      <c r="I32" s="5">
        <v>0.71</v>
      </c>
      <c r="J32" s="5">
        <v>0.71</v>
      </c>
      <c r="K32" s="5">
        <v>0.71</v>
      </c>
    </row>
    <row r="33" spans="1:11" x14ac:dyDescent="0.3">
      <c r="A33" s="11"/>
      <c r="B33" s="5" t="s">
        <v>28</v>
      </c>
      <c r="C33" s="5" t="s">
        <v>29</v>
      </c>
      <c r="D33" s="5">
        <v>3208</v>
      </c>
      <c r="E33" s="5">
        <v>3208</v>
      </c>
      <c r="F33" s="5">
        <v>2271</v>
      </c>
      <c r="G33" s="5">
        <v>937</v>
      </c>
      <c r="H33" s="5">
        <v>937</v>
      </c>
      <c r="I33" s="5">
        <v>0.70799999999999996</v>
      </c>
      <c r="J33" s="5">
        <v>0.70799999999999996</v>
      </c>
      <c r="K33" s="5">
        <v>0.70799999999999996</v>
      </c>
    </row>
    <row r="34" spans="1:11" x14ac:dyDescent="0.3">
      <c r="A34" s="11"/>
      <c r="B34" s="5" t="s">
        <v>30</v>
      </c>
      <c r="C34" s="5" t="s">
        <v>31</v>
      </c>
      <c r="D34" s="5">
        <v>6563</v>
      </c>
      <c r="E34" s="5">
        <v>6563</v>
      </c>
      <c r="F34" s="5">
        <v>4717</v>
      </c>
      <c r="G34" s="5">
        <v>1846</v>
      </c>
      <c r="H34" s="5">
        <v>1846</v>
      </c>
      <c r="I34" s="5">
        <v>0.71899999999999997</v>
      </c>
      <c r="J34" s="5">
        <v>0.71899999999999997</v>
      </c>
      <c r="K34" s="5">
        <v>0.71899999999999997</v>
      </c>
    </row>
    <row r="35" spans="1:11" x14ac:dyDescent="0.3">
      <c r="A35" s="11" t="s">
        <v>76</v>
      </c>
      <c r="B35" s="5" t="s">
        <v>10</v>
      </c>
      <c r="C35" s="5" t="s">
        <v>11</v>
      </c>
      <c r="D35" s="5">
        <v>55</v>
      </c>
      <c r="E35" s="5">
        <v>56</v>
      </c>
      <c r="F35" s="5">
        <v>49</v>
      </c>
      <c r="G35" s="5">
        <v>6</v>
      </c>
      <c r="H35" s="5">
        <v>7</v>
      </c>
      <c r="I35" s="5">
        <v>0.89090000000000003</v>
      </c>
      <c r="J35" s="5">
        <v>0.875</v>
      </c>
      <c r="K35" s="5">
        <v>0.88290000000000002</v>
      </c>
    </row>
    <row r="36" spans="1:11" x14ac:dyDescent="0.3">
      <c r="A36" s="11"/>
      <c r="B36" s="5" t="s">
        <v>12</v>
      </c>
      <c r="C36" s="5" t="s">
        <v>13</v>
      </c>
      <c r="D36" s="5">
        <v>107</v>
      </c>
      <c r="E36" s="5">
        <v>111</v>
      </c>
      <c r="F36" s="5">
        <v>92</v>
      </c>
      <c r="G36" s="5">
        <v>15</v>
      </c>
      <c r="H36" s="5">
        <v>19</v>
      </c>
      <c r="I36" s="5">
        <v>0.85980000000000001</v>
      </c>
      <c r="J36" s="5">
        <v>0.82879999999999998</v>
      </c>
      <c r="K36" s="5">
        <v>0.84399999999999997</v>
      </c>
    </row>
    <row r="37" spans="1:11" x14ac:dyDescent="0.3">
      <c r="A37" s="11"/>
      <c r="B37" s="5" t="s">
        <v>14</v>
      </c>
      <c r="C37" s="5" t="s">
        <v>15</v>
      </c>
      <c r="D37" s="5">
        <v>83</v>
      </c>
      <c r="E37" s="5">
        <v>85</v>
      </c>
      <c r="F37" s="5">
        <v>71</v>
      </c>
      <c r="G37" s="5">
        <v>12</v>
      </c>
      <c r="H37" s="5">
        <v>14</v>
      </c>
      <c r="I37" s="5">
        <v>0.85540000000000005</v>
      </c>
      <c r="J37" s="5">
        <v>0.83530000000000004</v>
      </c>
      <c r="K37" s="5">
        <v>0.84519999999999995</v>
      </c>
    </row>
    <row r="38" spans="1:11" x14ac:dyDescent="0.3">
      <c r="A38" s="11"/>
      <c r="B38" s="5" t="s">
        <v>16</v>
      </c>
      <c r="C38" s="5" t="s">
        <v>17</v>
      </c>
      <c r="D38" s="5">
        <v>69</v>
      </c>
      <c r="E38" s="5">
        <v>72</v>
      </c>
      <c r="F38" s="5">
        <v>60</v>
      </c>
      <c r="G38" s="5">
        <v>9</v>
      </c>
      <c r="H38" s="5">
        <v>12</v>
      </c>
      <c r="I38" s="5">
        <v>0.86960000000000004</v>
      </c>
      <c r="J38" s="5">
        <v>0.83330000000000004</v>
      </c>
      <c r="K38" s="5">
        <v>0.85109999999999997</v>
      </c>
    </row>
    <row r="39" spans="1:11" x14ac:dyDescent="0.3">
      <c r="A39" s="11"/>
      <c r="B39" s="5" t="s">
        <v>18</v>
      </c>
      <c r="C39" s="5" t="s">
        <v>19</v>
      </c>
      <c r="D39" s="5">
        <v>143</v>
      </c>
      <c r="E39" s="5">
        <v>149</v>
      </c>
      <c r="F39" s="5">
        <v>117</v>
      </c>
      <c r="G39" s="5">
        <v>26</v>
      </c>
      <c r="H39" s="5">
        <v>32</v>
      </c>
      <c r="I39" s="5">
        <v>0.81820000000000004</v>
      </c>
      <c r="J39" s="5">
        <v>0.78520000000000001</v>
      </c>
      <c r="K39" s="5">
        <v>0.8014</v>
      </c>
    </row>
    <row r="40" spans="1:11" x14ac:dyDescent="0.3">
      <c r="A40" s="11"/>
      <c r="B40" s="5" t="s">
        <v>20</v>
      </c>
      <c r="C40" s="5" t="s">
        <v>21</v>
      </c>
      <c r="D40" s="5">
        <v>88</v>
      </c>
      <c r="E40" s="5">
        <v>92</v>
      </c>
      <c r="F40" s="5">
        <v>74</v>
      </c>
      <c r="G40" s="5">
        <v>14</v>
      </c>
      <c r="H40" s="5">
        <v>18</v>
      </c>
      <c r="I40" s="5">
        <v>0.84089999999999998</v>
      </c>
      <c r="J40" s="5">
        <v>0.80430000000000001</v>
      </c>
      <c r="K40" s="5">
        <v>0.82220000000000004</v>
      </c>
    </row>
    <row r="41" spans="1:11" x14ac:dyDescent="0.3">
      <c r="A41" s="11"/>
      <c r="B41" s="5" t="s">
        <v>22</v>
      </c>
      <c r="C41" s="5" t="s">
        <v>23</v>
      </c>
      <c r="D41" s="5">
        <v>140</v>
      </c>
      <c r="E41" s="5">
        <v>146</v>
      </c>
      <c r="F41" s="5">
        <v>118</v>
      </c>
      <c r="G41" s="5">
        <v>22</v>
      </c>
      <c r="H41" s="5">
        <v>28</v>
      </c>
      <c r="I41" s="5">
        <v>0.84289999999999998</v>
      </c>
      <c r="J41" s="5">
        <v>0.80820000000000003</v>
      </c>
      <c r="K41" s="5">
        <v>0.82520000000000004</v>
      </c>
    </row>
    <row r="42" spans="1:11" x14ac:dyDescent="0.3">
      <c r="A42" s="11"/>
      <c r="B42" s="5" t="s">
        <v>24</v>
      </c>
      <c r="C42" s="5" t="s">
        <v>25</v>
      </c>
      <c r="D42" s="5">
        <v>167</v>
      </c>
      <c r="E42" s="5">
        <v>175</v>
      </c>
      <c r="F42" s="5">
        <v>115</v>
      </c>
      <c r="G42" s="5">
        <v>52</v>
      </c>
      <c r="H42" s="5">
        <v>60</v>
      </c>
      <c r="I42" s="5">
        <v>0.68859999999999999</v>
      </c>
      <c r="J42" s="5">
        <v>0.65710000000000002</v>
      </c>
      <c r="K42" s="5">
        <v>0.67249999999999999</v>
      </c>
    </row>
    <row r="43" spans="1:11" x14ac:dyDescent="0.3">
      <c r="A43" s="11"/>
      <c r="B43" s="5" t="s">
        <v>26</v>
      </c>
      <c r="C43" s="5" t="s">
        <v>27</v>
      </c>
      <c r="D43" s="5">
        <v>224</v>
      </c>
      <c r="E43" s="5">
        <v>234</v>
      </c>
      <c r="F43" s="5">
        <v>169</v>
      </c>
      <c r="G43" s="5">
        <v>55</v>
      </c>
      <c r="H43" s="5">
        <v>65</v>
      </c>
      <c r="I43" s="5">
        <v>0.75449999999999995</v>
      </c>
      <c r="J43" s="5">
        <v>0.72219999999999995</v>
      </c>
      <c r="K43" s="5">
        <v>0.73799999999999999</v>
      </c>
    </row>
    <row r="44" spans="1:11" x14ac:dyDescent="0.3">
      <c r="A44" s="11"/>
      <c r="B44" s="5" t="s">
        <v>28</v>
      </c>
      <c r="C44" s="5" t="s">
        <v>29</v>
      </c>
      <c r="D44" s="5">
        <v>119</v>
      </c>
      <c r="E44" s="5">
        <v>125</v>
      </c>
      <c r="F44" s="5">
        <v>85</v>
      </c>
      <c r="G44" s="5">
        <v>34</v>
      </c>
      <c r="H44" s="5">
        <v>40</v>
      </c>
      <c r="I44" s="5">
        <v>0.71430000000000005</v>
      </c>
      <c r="J44" s="5">
        <v>0.68</v>
      </c>
      <c r="K44" s="5">
        <v>0.69669999999999999</v>
      </c>
    </row>
    <row r="45" spans="1:11" x14ac:dyDescent="0.3">
      <c r="A45" s="11"/>
      <c r="B45" s="5" t="s">
        <v>30</v>
      </c>
      <c r="C45" s="5" t="s">
        <v>31</v>
      </c>
      <c r="D45" s="5">
        <v>192</v>
      </c>
      <c r="E45" s="5">
        <v>202</v>
      </c>
      <c r="F45" s="5">
        <v>147</v>
      </c>
      <c r="G45" s="5">
        <v>45</v>
      </c>
      <c r="H45" s="5">
        <v>55</v>
      </c>
      <c r="I45" s="5">
        <v>0.76559999999999995</v>
      </c>
      <c r="J45" s="5">
        <v>0.72770000000000001</v>
      </c>
      <c r="K45" s="5">
        <v>0.74619999999999997</v>
      </c>
    </row>
    <row r="46" spans="1:11" x14ac:dyDescent="0.3">
      <c r="A46" s="11" t="s">
        <v>77</v>
      </c>
      <c r="B46" s="5" t="s">
        <v>10</v>
      </c>
      <c r="C46" s="5" t="s">
        <v>11</v>
      </c>
      <c r="D46" s="5">
        <v>1307</v>
      </c>
      <c r="E46" s="5">
        <v>1339</v>
      </c>
      <c r="F46" s="5">
        <v>1199</v>
      </c>
      <c r="G46" s="5">
        <v>108</v>
      </c>
      <c r="H46" s="5">
        <v>140</v>
      </c>
      <c r="I46" s="5">
        <v>0.91269999999999996</v>
      </c>
      <c r="J46" s="5">
        <v>0.88980000000000004</v>
      </c>
      <c r="K46" s="5">
        <v>0.91100000000000003</v>
      </c>
    </row>
    <row r="47" spans="1:11" x14ac:dyDescent="0.3">
      <c r="A47" s="11"/>
      <c r="B47" s="5" t="s">
        <v>12</v>
      </c>
      <c r="C47" s="5" t="s">
        <v>13</v>
      </c>
      <c r="D47" s="5">
        <v>2364</v>
      </c>
      <c r="E47" s="5">
        <v>2420</v>
      </c>
      <c r="F47" s="5">
        <v>2125</v>
      </c>
      <c r="G47" s="5">
        <v>239</v>
      </c>
      <c r="H47" s="5">
        <v>295</v>
      </c>
      <c r="I47" s="5">
        <v>0.89900000000000002</v>
      </c>
      <c r="J47" s="5">
        <v>0.87809999999999999</v>
      </c>
      <c r="K47" s="5">
        <v>0.89900000000000002</v>
      </c>
    </row>
    <row r="48" spans="1:11" x14ac:dyDescent="0.3">
      <c r="A48" s="11"/>
      <c r="B48" s="5" t="s">
        <v>14</v>
      </c>
      <c r="C48" s="5" t="s">
        <v>15</v>
      </c>
      <c r="D48" s="5">
        <v>2332</v>
      </c>
      <c r="E48" s="5">
        <v>2397</v>
      </c>
      <c r="F48" s="5">
        <v>1905</v>
      </c>
      <c r="G48" s="5">
        <v>427</v>
      </c>
      <c r="H48" s="5">
        <v>492</v>
      </c>
      <c r="I48" s="5">
        <v>0.81020000000000003</v>
      </c>
      <c r="J48" s="5">
        <v>0.78749999999999998</v>
      </c>
      <c r="K48" s="5">
        <v>0.81</v>
      </c>
    </row>
    <row r="49" spans="1:11" x14ac:dyDescent="0.3">
      <c r="A49" s="11"/>
      <c r="B49" s="5" t="s">
        <v>16</v>
      </c>
      <c r="C49" s="5" t="s">
        <v>17</v>
      </c>
      <c r="D49" s="5">
        <v>1368</v>
      </c>
      <c r="E49" s="5">
        <v>1425</v>
      </c>
      <c r="F49" s="5">
        <v>1196</v>
      </c>
      <c r="G49" s="5">
        <v>172</v>
      </c>
      <c r="H49" s="5">
        <v>229</v>
      </c>
      <c r="I49" s="5">
        <v>0.86109999999999998</v>
      </c>
      <c r="J49" s="5">
        <v>0.82279999999999998</v>
      </c>
      <c r="K49" s="5">
        <v>0.86099999999999999</v>
      </c>
    </row>
    <row r="50" spans="1:11" x14ac:dyDescent="0.3">
      <c r="A50" s="11"/>
      <c r="B50" s="5" t="s">
        <v>18</v>
      </c>
      <c r="C50" s="5" t="s">
        <v>19</v>
      </c>
      <c r="D50" s="5">
        <v>3922</v>
      </c>
      <c r="E50" s="5">
        <v>4035</v>
      </c>
      <c r="F50" s="5">
        <v>3281</v>
      </c>
      <c r="G50" s="5">
        <v>641</v>
      </c>
      <c r="H50" s="5">
        <v>754</v>
      </c>
      <c r="I50" s="5">
        <v>0.84730000000000005</v>
      </c>
      <c r="J50" s="5">
        <v>0.82489999999999997</v>
      </c>
      <c r="K50" s="5">
        <v>0.82399999999999995</v>
      </c>
    </row>
    <row r="51" spans="1:11" x14ac:dyDescent="0.3">
      <c r="A51" s="11"/>
      <c r="B51" s="5" t="s">
        <v>20</v>
      </c>
      <c r="C51" s="5" t="s">
        <v>21</v>
      </c>
      <c r="D51" s="5">
        <v>2397</v>
      </c>
      <c r="E51" s="5">
        <v>2467</v>
      </c>
      <c r="F51" s="5">
        <v>1962</v>
      </c>
      <c r="G51" s="5">
        <v>435</v>
      </c>
      <c r="H51" s="5">
        <v>505</v>
      </c>
      <c r="I51" s="5">
        <v>0.80669999999999997</v>
      </c>
      <c r="J51" s="5">
        <v>0.78280000000000005</v>
      </c>
      <c r="K51" s="5">
        <v>0.80700000000000005</v>
      </c>
    </row>
    <row r="52" spans="1:11" x14ac:dyDescent="0.3">
      <c r="A52" s="11"/>
      <c r="B52" s="5" t="s">
        <v>22</v>
      </c>
      <c r="C52" s="5" t="s">
        <v>23</v>
      </c>
      <c r="D52" s="5">
        <v>4414</v>
      </c>
      <c r="E52" s="5">
        <v>4532</v>
      </c>
      <c r="F52" s="5">
        <v>3527</v>
      </c>
      <c r="G52" s="5">
        <v>887</v>
      </c>
      <c r="H52" s="5">
        <v>1005</v>
      </c>
      <c r="I52" s="5">
        <v>0.78859999999999997</v>
      </c>
      <c r="J52" s="5">
        <v>0.76719999999999999</v>
      </c>
      <c r="K52" s="5">
        <v>0.78900000000000003</v>
      </c>
    </row>
    <row r="53" spans="1:11" x14ac:dyDescent="0.3">
      <c r="A53" s="11"/>
      <c r="B53" s="5" t="s">
        <v>24</v>
      </c>
      <c r="C53" s="5" t="s">
        <v>25</v>
      </c>
      <c r="D53" s="5">
        <v>3802</v>
      </c>
      <c r="E53" s="5">
        <v>3879</v>
      </c>
      <c r="F53" s="5">
        <v>3355</v>
      </c>
      <c r="G53" s="5">
        <v>447</v>
      </c>
      <c r="H53" s="5">
        <v>524</v>
      </c>
      <c r="I53" s="5">
        <v>0.87309999999999999</v>
      </c>
      <c r="J53" s="5">
        <v>0.85440000000000005</v>
      </c>
      <c r="K53" s="5">
        <v>0.874</v>
      </c>
    </row>
    <row r="54" spans="1:11" x14ac:dyDescent="0.3">
      <c r="A54" s="11"/>
      <c r="B54" s="5" t="s">
        <v>26</v>
      </c>
      <c r="C54" s="5" t="s">
        <v>27</v>
      </c>
      <c r="D54" s="5">
        <v>6434</v>
      </c>
      <c r="E54" s="5">
        <v>6559</v>
      </c>
      <c r="F54" s="5">
        <v>5118</v>
      </c>
      <c r="G54" s="5">
        <v>1316</v>
      </c>
      <c r="H54" s="5">
        <v>1441</v>
      </c>
      <c r="I54" s="5">
        <v>0.78690000000000004</v>
      </c>
      <c r="J54" s="5">
        <v>0.77129999999999999</v>
      </c>
      <c r="K54" s="5">
        <v>0.78700000000000003</v>
      </c>
    </row>
    <row r="55" spans="1:11" x14ac:dyDescent="0.3">
      <c r="A55" s="11"/>
      <c r="B55" s="5" t="s">
        <v>28</v>
      </c>
      <c r="C55" s="5" t="s">
        <v>29</v>
      </c>
      <c r="D55" s="5">
        <v>3694</v>
      </c>
      <c r="E55" s="5">
        <v>3786</v>
      </c>
      <c r="F55" s="5">
        <v>2965</v>
      </c>
      <c r="G55" s="5">
        <v>729</v>
      </c>
      <c r="H55" s="5">
        <v>821</v>
      </c>
      <c r="I55" s="5">
        <v>0.79290000000000005</v>
      </c>
      <c r="J55" s="5">
        <v>0.77290000000000003</v>
      </c>
      <c r="K55" s="5">
        <v>0.79300000000000004</v>
      </c>
    </row>
    <row r="56" spans="1:11" x14ac:dyDescent="0.3">
      <c r="A56" s="11"/>
      <c r="B56" s="5" t="s">
        <v>30</v>
      </c>
      <c r="C56" s="5" t="s">
        <v>31</v>
      </c>
      <c r="D56" s="5">
        <v>6475</v>
      </c>
      <c r="E56" s="5">
        <v>6650</v>
      </c>
      <c r="F56" s="5">
        <v>4979</v>
      </c>
      <c r="G56" s="5">
        <v>1496</v>
      </c>
      <c r="H56" s="5">
        <v>1671</v>
      </c>
      <c r="I56" s="5">
        <v>0.75800000000000001</v>
      </c>
      <c r="J56" s="5">
        <v>0.73699999999999999</v>
      </c>
      <c r="K56" s="5">
        <v>0.75800000000000001</v>
      </c>
    </row>
  </sheetData>
  <mergeCells count="5">
    <mergeCell ref="A13:A23"/>
    <mergeCell ref="A24:A34"/>
    <mergeCell ref="A35:A45"/>
    <mergeCell ref="A46:A56"/>
    <mergeCell ref="A2:A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0857-1636-4615-B1A4-65D9D99595AD}">
  <dimension ref="A1:AE10"/>
  <sheetViews>
    <sheetView tabSelected="1" workbookViewId="0">
      <selection activeCell="Y23" sqref="Y23"/>
    </sheetView>
  </sheetViews>
  <sheetFormatPr defaultRowHeight="14.4" x14ac:dyDescent="0.3"/>
  <cols>
    <col min="1" max="1" width="10.77734375" style="12" customWidth="1"/>
    <col min="2" max="31" width="4.5546875" style="12" bestFit="1" customWidth="1"/>
    <col min="32" max="16384" width="8.88671875" style="12"/>
  </cols>
  <sheetData>
    <row r="1" spans="1:31" x14ac:dyDescent="0.3">
      <c r="A1" s="17" t="s">
        <v>33</v>
      </c>
      <c r="B1" s="18" t="s">
        <v>32</v>
      </c>
      <c r="C1" s="18"/>
      <c r="D1" s="18"/>
      <c r="E1" s="18"/>
      <c r="F1" s="18"/>
      <c r="G1" s="18"/>
      <c r="H1" s="18" t="s">
        <v>85</v>
      </c>
      <c r="I1" s="18"/>
      <c r="J1" s="18"/>
      <c r="K1" s="18"/>
      <c r="L1" s="18"/>
      <c r="M1" s="18"/>
      <c r="N1" s="18" t="s">
        <v>34</v>
      </c>
      <c r="O1" s="18"/>
      <c r="P1" s="18"/>
      <c r="Q1" s="18"/>
      <c r="R1" s="18"/>
      <c r="S1" s="18"/>
      <c r="T1" s="18" t="s">
        <v>76</v>
      </c>
      <c r="U1" s="18"/>
      <c r="V1" s="18"/>
      <c r="W1" s="18"/>
      <c r="X1" s="18"/>
      <c r="Y1" s="18"/>
      <c r="Z1" s="18" t="s">
        <v>88</v>
      </c>
      <c r="AA1" s="18"/>
      <c r="AB1" s="18"/>
      <c r="AC1" s="18"/>
      <c r="AD1" s="18"/>
      <c r="AE1" s="18"/>
    </row>
    <row r="2" spans="1:31" ht="28.8" x14ac:dyDescent="0.3">
      <c r="A2" s="19" t="s">
        <v>92</v>
      </c>
      <c r="B2" s="14" t="s">
        <v>78</v>
      </c>
      <c r="C2" s="14"/>
      <c r="D2" s="14" t="s">
        <v>86</v>
      </c>
      <c r="E2" s="14"/>
      <c r="F2" s="14" t="s">
        <v>80</v>
      </c>
      <c r="G2" s="14"/>
      <c r="H2" s="15" t="s">
        <v>78</v>
      </c>
      <c r="I2" s="15"/>
      <c r="J2" s="15" t="s">
        <v>86</v>
      </c>
      <c r="K2" s="15"/>
      <c r="L2" s="15" t="s">
        <v>80</v>
      </c>
      <c r="M2" s="15"/>
      <c r="N2" s="14" t="s">
        <v>78</v>
      </c>
      <c r="O2" s="14"/>
      <c r="P2" s="14" t="s">
        <v>86</v>
      </c>
      <c r="Q2" s="14"/>
      <c r="R2" s="14" t="s">
        <v>80</v>
      </c>
      <c r="S2" s="14"/>
      <c r="T2" s="15" t="s">
        <v>78</v>
      </c>
      <c r="U2" s="15"/>
      <c r="V2" s="15" t="s">
        <v>86</v>
      </c>
      <c r="W2" s="15"/>
      <c r="X2" s="15" t="s">
        <v>80</v>
      </c>
      <c r="Y2" s="15"/>
      <c r="Z2" s="14" t="s">
        <v>78</v>
      </c>
      <c r="AA2" s="14"/>
      <c r="AB2" s="14" t="s">
        <v>86</v>
      </c>
      <c r="AC2" s="14"/>
      <c r="AD2" s="14" t="s">
        <v>80</v>
      </c>
      <c r="AE2" s="14"/>
    </row>
    <row r="3" spans="1:31" x14ac:dyDescent="0.3">
      <c r="A3" s="20" t="s">
        <v>1</v>
      </c>
      <c r="B3" s="13" t="s">
        <v>9</v>
      </c>
      <c r="C3" s="13" t="s">
        <v>82</v>
      </c>
      <c r="D3" s="13" t="s">
        <v>9</v>
      </c>
      <c r="E3" s="13" t="s">
        <v>82</v>
      </c>
      <c r="F3" s="13" t="s">
        <v>9</v>
      </c>
      <c r="G3" s="13" t="s">
        <v>82</v>
      </c>
      <c r="H3" s="16" t="s">
        <v>9</v>
      </c>
      <c r="I3" s="16" t="s">
        <v>82</v>
      </c>
      <c r="J3" s="16" t="s">
        <v>9</v>
      </c>
      <c r="K3" s="16" t="s">
        <v>82</v>
      </c>
      <c r="L3" s="16" t="s">
        <v>9</v>
      </c>
      <c r="M3" s="16" t="s">
        <v>82</v>
      </c>
      <c r="N3" s="13" t="s">
        <v>9</v>
      </c>
      <c r="O3" s="13" t="s">
        <v>82</v>
      </c>
      <c r="P3" s="13" t="s">
        <v>9</v>
      </c>
      <c r="Q3" s="13" t="s">
        <v>82</v>
      </c>
      <c r="R3" s="13" t="s">
        <v>9</v>
      </c>
      <c r="S3" s="13" t="s">
        <v>82</v>
      </c>
      <c r="T3" s="16" t="s">
        <v>9</v>
      </c>
      <c r="U3" s="16" t="s">
        <v>82</v>
      </c>
      <c r="V3" s="16" t="s">
        <v>9</v>
      </c>
      <c r="W3" s="16" t="s">
        <v>82</v>
      </c>
      <c r="X3" s="16" t="s">
        <v>9</v>
      </c>
      <c r="Y3" s="16" t="s">
        <v>82</v>
      </c>
      <c r="Z3" s="13" t="s">
        <v>9</v>
      </c>
      <c r="AA3" s="13" t="s">
        <v>82</v>
      </c>
      <c r="AB3" s="13" t="s">
        <v>9</v>
      </c>
      <c r="AC3" s="13" t="s">
        <v>82</v>
      </c>
      <c r="AD3" s="13" t="s">
        <v>9</v>
      </c>
      <c r="AE3" s="13" t="s">
        <v>82</v>
      </c>
    </row>
    <row r="4" spans="1:31" x14ac:dyDescent="0.3">
      <c r="A4" s="20" t="s">
        <v>81</v>
      </c>
      <c r="B4" s="13">
        <v>0.93608646340649815</v>
      </c>
      <c r="C4" s="13">
        <v>0.87985200978240419</v>
      </c>
      <c r="D4" s="13">
        <v>0.84900022983222245</v>
      </c>
      <c r="E4" s="13">
        <v>0.73761980830670926</v>
      </c>
      <c r="F4" s="13">
        <v>0.79644588045234244</v>
      </c>
      <c r="G4" s="13">
        <v>0.661744966442953</v>
      </c>
      <c r="H4" s="16">
        <v>0.9407476830157242</v>
      </c>
      <c r="I4" s="16">
        <v>0.88812426268187183</v>
      </c>
      <c r="J4" s="16">
        <v>0.92592592592592593</v>
      </c>
      <c r="K4" s="16">
        <v>0.86206896551724133</v>
      </c>
      <c r="L4" s="16">
        <v>0.78921568627450978</v>
      </c>
      <c r="M4" s="16">
        <v>0.65182186234817818</v>
      </c>
      <c r="N4" s="13">
        <v>0.94919937205651495</v>
      </c>
      <c r="O4" s="13">
        <v>0.90331062507469817</v>
      </c>
      <c r="P4" s="13">
        <v>0.95069204152249132</v>
      </c>
      <c r="Q4" s="13">
        <v>0.90601813685078314</v>
      </c>
      <c r="R4" s="13">
        <v>0.8673875924871941</v>
      </c>
      <c r="S4" s="13">
        <v>0.76582914572864325</v>
      </c>
      <c r="T4" s="16">
        <v>0.8908629441624365</v>
      </c>
      <c r="U4" s="16">
        <v>0.80320366132723109</v>
      </c>
      <c r="V4" s="16">
        <v>0.88288288288288286</v>
      </c>
      <c r="W4" s="16">
        <v>0.79032258064516125</v>
      </c>
      <c r="X4" s="16">
        <v>0.71604938271604934</v>
      </c>
      <c r="Y4" s="16">
        <v>0.55769230769230771</v>
      </c>
      <c r="Z4" s="13">
        <v>0.9197427959037866</v>
      </c>
      <c r="AA4" s="13">
        <v>0.8514109347442681</v>
      </c>
      <c r="AB4" s="13">
        <v>0.9062736205593348</v>
      </c>
      <c r="AC4" s="13">
        <v>0.82861091914305463</v>
      </c>
      <c r="AD4" s="13">
        <v>0.80764104842292317</v>
      </c>
      <c r="AE4" s="13">
        <v>0.67734724292101345</v>
      </c>
    </row>
    <row r="5" spans="1:31" x14ac:dyDescent="0.3">
      <c r="A5" s="20" t="s">
        <v>12</v>
      </c>
      <c r="B5" s="13">
        <v>0.89846839911873222</v>
      </c>
      <c r="C5" s="13">
        <v>0.81565376644657572</v>
      </c>
      <c r="D5" s="13">
        <v>0.78400000000000003</v>
      </c>
      <c r="E5" s="13">
        <v>0.64473684210526316</v>
      </c>
      <c r="F5" s="13">
        <v>0.7034965034965035</v>
      </c>
      <c r="G5" s="13">
        <v>0.54261057173678529</v>
      </c>
      <c r="H5" s="16">
        <v>0.90817320464004248</v>
      </c>
      <c r="I5" s="16">
        <v>0.8317923763179238</v>
      </c>
      <c r="J5" s="16">
        <v>0.87684069611780457</v>
      </c>
      <c r="K5" s="16">
        <v>0.78069129916567337</v>
      </c>
      <c r="L5" s="16">
        <v>0.75423728813559321</v>
      </c>
      <c r="M5" s="16">
        <v>0.60544217687074831</v>
      </c>
      <c r="N5" s="13">
        <v>0.83095438007276801</v>
      </c>
      <c r="O5" s="13">
        <v>0.71079722288723968</v>
      </c>
      <c r="P5" s="13">
        <v>0.83706225680933855</v>
      </c>
      <c r="Q5" s="13">
        <v>0.71978251777498958</v>
      </c>
      <c r="R5" s="13">
        <v>0.83501215699895792</v>
      </c>
      <c r="S5" s="13">
        <v>0.71675611210494927</v>
      </c>
      <c r="T5" s="16">
        <v>0.83388049901510175</v>
      </c>
      <c r="U5" s="16">
        <v>0.71509009009009006</v>
      </c>
      <c r="V5" s="16">
        <v>0.84403669724770647</v>
      </c>
      <c r="W5" s="16">
        <v>0.73015873015873012</v>
      </c>
      <c r="X5" s="16">
        <v>0.69090909090909092</v>
      </c>
      <c r="Y5" s="16">
        <v>0.52777777777777779</v>
      </c>
      <c r="Z5" s="13">
        <v>0.90458691515191281</v>
      </c>
      <c r="AA5" s="13">
        <v>0.82579524351524591</v>
      </c>
      <c r="AB5" s="13">
        <v>0.88837792642140467</v>
      </c>
      <c r="AC5" s="13">
        <v>0.79917262128619782</v>
      </c>
      <c r="AD5" s="13">
        <v>0.78646253021756651</v>
      </c>
      <c r="AE5" s="13">
        <v>0.64807436918990702</v>
      </c>
    </row>
    <row r="6" spans="1:31" x14ac:dyDescent="0.3">
      <c r="A6" s="20" t="s">
        <v>14</v>
      </c>
      <c r="B6" s="13">
        <v>0.87547830773376445</v>
      </c>
      <c r="C6" s="13">
        <v>0.7785339435910954</v>
      </c>
      <c r="D6" s="13">
        <v>0.83399999999999996</v>
      </c>
      <c r="E6" s="13">
        <v>0.71526586620926247</v>
      </c>
      <c r="F6" s="13">
        <v>0.71671276175424736</v>
      </c>
      <c r="G6" s="13">
        <v>0.55849753694581283</v>
      </c>
      <c r="H6" s="16">
        <v>0.89539940489814607</v>
      </c>
      <c r="I6" s="16">
        <v>0.81060920016576876</v>
      </c>
      <c r="J6" s="16">
        <v>0.89692832764505115</v>
      </c>
      <c r="K6" s="16">
        <v>0.81311881188118806</v>
      </c>
      <c r="L6" s="16">
        <v>0.80936995153473346</v>
      </c>
      <c r="M6" s="16">
        <v>0.67978290366350069</v>
      </c>
      <c r="N6" s="13">
        <v>0.83583285632512883</v>
      </c>
      <c r="O6" s="13">
        <v>0.71796636837447148</v>
      </c>
      <c r="P6" s="13">
        <v>0.82876440206595148</v>
      </c>
      <c r="Q6" s="13">
        <v>0.70759837177747631</v>
      </c>
      <c r="R6" s="13">
        <v>0.81638262781748216</v>
      </c>
      <c r="S6" s="13">
        <v>0.68973525313516026</v>
      </c>
      <c r="T6" s="16">
        <v>0.82823129251700678</v>
      </c>
      <c r="U6" s="16">
        <v>0.70682148040638604</v>
      </c>
      <c r="V6" s="16">
        <v>0.84523809523809523</v>
      </c>
      <c r="W6" s="16">
        <v>0.73195876288659789</v>
      </c>
      <c r="X6" s="16">
        <v>0.66666666666666663</v>
      </c>
      <c r="Y6" s="16">
        <v>0.5</v>
      </c>
      <c r="Z6" s="13">
        <v>0.83838417813057076</v>
      </c>
      <c r="AA6" s="13">
        <v>0.72173963400509611</v>
      </c>
      <c r="AB6" s="13">
        <v>0.80566716007612604</v>
      </c>
      <c r="AC6" s="13">
        <v>0.67457507082152979</v>
      </c>
      <c r="AD6" s="13">
        <v>0.74619695756605287</v>
      </c>
      <c r="AE6" s="13">
        <v>0.59514687100893993</v>
      </c>
    </row>
    <row r="7" spans="1:31" x14ac:dyDescent="0.3">
      <c r="A7" s="20" t="s">
        <v>16</v>
      </c>
      <c r="B7" s="13">
        <v>0.92418447694038242</v>
      </c>
      <c r="C7" s="13">
        <v>0.85905478879130071</v>
      </c>
      <c r="D7" s="13">
        <v>0.88</v>
      </c>
      <c r="E7" s="13">
        <v>0.7857142857142857</v>
      </c>
      <c r="F7" s="13">
        <v>0.81234361968306923</v>
      </c>
      <c r="G7" s="13">
        <v>0.6839887640449438</v>
      </c>
      <c r="H7" s="16">
        <v>0.92696850393700791</v>
      </c>
      <c r="I7" s="16">
        <v>0.86387818748853418</v>
      </c>
      <c r="J7" s="16">
        <v>0.90883392226148407</v>
      </c>
      <c r="K7" s="16">
        <v>0.83290155440414504</v>
      </c>
      <c r="L7" s="16">
        <v>0.77241379310344827</v>
      </c>
      <c r="M7" s="16">
        <v>0.6292134831460674</v>
      </c>
      <c r="N7" s="13">
        <v>0.85039467959475423</v>
      </c>
      <c r="O7" s="13">
        <v>0.73972750865051906</v>
      </c>
      <c r="P7" s="13">
        <v>0.84169550173010377</v>
      </c>
      <c r="Q7" s="13">
        <v>0.72666168782673635</v>
      </c>
      <c r="R7" s="13">
        <v>0.82301369863013696</v>
      </c>
      <c r="S7" s="13">
        <v>0.6992551210428305</v>
      </c>
      <c r="T7" s="16">
        <v>0.87449392712550611</v>
      </c>
      <c r="U7" s="16">
        <v>0.7769784172661871</v>
      </c>
      <c r="V7" s="16">
        <v>0.85106382978723405</v>
      </c>
      <c r="W7" s="16">
        <v>0.7407407407407407</v>
      </c>
      <c r="X7" s="16">
        <v>0.65486725663716816</v>
      </c>
      <c r="Y7" s="16">
        <v>0.48684210526315791</v>
      </c>
      <c r="Z7" s="13">
        <v>0.87886685552407928</v>
      </c>
      <c r="AA7" s="13">
        <v>0.78390944006468566</v>
      </c>
      <c r="AB7" s="13">
        <v>0.85642678123881133</v>
      </c>
      <c r="AC7" s="13">
        <v>0.74890419536631181</v>
      </c>
      <c r="AD7" s="13">
        <v>0.73899999999999999</v>
      </c>
      <c r="AE7" s="13">
        <v>0.58604282315622525</v>
      </c>
    </row>
    <row r="8" spans="1:31" x14ac:dyDescent="0.3">
      <c r="A8" s="20" t="s">
        <v>18</v>
      </c>
      <c r="B8" s="13">
        <v>0.88045369146197205</v>
      </c>
      <c r="C8" s="13">
        <v>0.78643793896450986</v>
      </c>
      <c r="D8" s="13">
        <v>0.85499999999999998</v>
      </c>
      <c r="E8" s="13">
        <v>0.74672489082969429</v>
      </c>
      <c r="F8" s="13">
        <v>0.75070159027128158</v>
      </c>
      <c r="G8" s="13">
        <v>0.60089853987270681</v>
      </c>
      <c r="H8" s="16">
        <v>0.84333181611288122</v>
      </c>
      <c r="I8" s="16">
        <v>0.7291043601448135</v>
      </c>
      <c r="J8" s="16">
        <v>0.80408078284405582</v>
      </c>
      <c r="K8" s="16">
        <v>0.6723537604456824</v>
      </c>
      <c r="L8" s="16">
        <v>0.73753665689149561</v>
      </c>
      <c r="M8" s="16">
        <v>0.58420441347270613</v>
      </c>
      <c r="N8" s="13">
        <v>0.82634034818132418</v>
      </c>
      <c r="O8" s="13">
        <v>0.7040715312150726</v>
      </c>
      <c r="P8" s="13">
        <v>0.81386955400876515</v>
      </c>
      <c r="Q8" s="13">
        <v>0.68615518365572703</v>
      </c>
      <c r="R8" s="13">
        <v>0.8223140495867769</v>
      </c>
      <c r="S8" s="13">
        <v>0.69824561403508767</v>
      </c>
      <c r="T8" s="16">
        <v>0.83845391476709619</v>
      </c>
      <c r="U8" s="16">
        <v>0.72184300341296925</v>
      </c>
      <c r="V8" s="16">
        <v>0.80136986301369861</v>
      </c>
      <c r="W8" s="16">
        <v>0.66857142857142859</v>
      </c>
      <c r="X8" s="16">
        <v>0.66108786610878656</v>
      </c>
      <c r="Y8" s="16">
        <v>0.49375000000000002</v>
      </c>
      <c r="Z8" s="13">
        <v>0.86697666862956124</v>
      </c>
      <c r="AA8" s="13">
        <v>0.76518871644144948</v>
      </c>
      <c r="AB8" s="13">
        <v>0.82468266934774415</v>
      </c>
      <c r="AC8" s="13">
        <v>0.70166809238665528</v>
      </c>
      <c r="AD8" s="13">
        <v>0.76848406406730307</v>
      </c>
      <c r="AE8" s="13">
        <v>0.62401471361008931</v>
      </c>
    </row>
    <row r="9" spans="1:31" x14ac:dyDescent="0.3">
      <c r="A9" s="20" t="s">
        <v>20</v>
      </c>
      <c r="B9" s="13">
        <v>0.90560153204295191</v>
      </c>
      <c r="C9" s="13">
        <v>0.82748793840461965</v>
      </c>
      <c r="D9" s="13">
        <v>0.86699990198961085</v>
      </c>
      <c r="E9" s="13">
        <v>0.7652249134948097</v>
      </c>
      <c r="F9" s="13">
        <v>0.79067898754519883</v>
      </c>
      <c r="G9" s="13">
        <v>0.65382059800664449</v>
      </c>
      <c r="H9" s="16">
        <v>0.86517178327398714</v>
      </c>
      <c r="I9" s="16">
        <v>0.76238127544097689</v>
      </c>
      <c r="J9" s="16">
        <v>0.83006948831332916</v>
      </c>
      <c r="K9" s="16">
        <v>0.70950323974082075</v>
      </c>
      <c r="L9" s="16">
        <v>0.72160000000000002</v>
      </c>
      <c r="M9" s="16">
        <v>0.56445556946182729</v>
      </c>
      <c r="N9" s="13">
        <v>0.84810600604925823</v>
      </c>
      <c r="O9" s="13">
        <v>0.73627088126437934</v>
      </c>
      <c r="P9" s="13">
        <v>0.83551847437425508</v>
      </c>
      <c r="Q9" s="13">
        <v>0.71750255885363357</v>
      </c>
      <c r="R9" s="13">
        <v>0.80980603448275867</v>
      </c>
      <c r="S9" s="13">
        <v>0.68039837030330463</v>
      </c>
      <c r="T9" s="16">
        <v>0.84753713838936673</v>
      </c>
      <c r="U9" s="16">
        <v>0.73541383989145181</v>
      </c>
      <c r="V9" s="16">
        <v>0.82222222222222219</v>
      </c>
      <c r="W9" s="16">
        <v>0.69811320754716977</v>
      </c>
      <c r="X9" s="16">
        <v>0.57718120805369133</v>
      </c>
      <c r="Y9" s="16">
        <v>0.40566037735849059</v>
      </c>
      <c r="Z9" s="13">
        <v>0.85049439683586026</v>
      </c>
      <c r="AA9" s="13">
        <v>0.73987842642504875</v>
      </c>
      <c r="AB9" s="13">
        <v>0.80674342105263153</v>
      </c>
      <c r="AC9" s="13">
        <v>0.67608545830461753</v>
      </c>
      <c r="AD9" s="13">
        <v>0.76992481203007523</v>
      </c>
      <c r="AE9" s="13">
        <v>0.62591687041564792</v>
      </c>
    </row>
    <row r="10" spans="1:31" x14ac:dyDescent="0.3">
      <c r="A10" s="20" t="s">
        <v>22</v>
      </c>
      <c r="B10" s="13">
        <v>0.8808629824576617</v>
      </c>
      <c r="C10" s="13">
        <v>0.78709127537579415</v>
      </c>
      <c r="D10" s="13">
        <v>0.83799999999999997</v>
      </c>
      <c r="E10" s="13">
        <v>0.72117039586919107</v>
      </c>
      <c r="F10" s="13">
        <v>0.73849821215733014</v>
      </c>
      <c r="G10" s="13">
        <v>0.58541194255479967</v>
      </c>
      <c r="H10" s="16">
        <v>0.8663974823347782</v>
      </c>
      <c r="I10" s="16">
        <v>0.76428683672934894</v>
      </c>
      <c r="J10" s="16">
        <v>0.81897725063192695</v>
      </c>
      <c r="K10" s="16">
        <v>0.69344748106684229</v>
      </c>
      <c r="L10" s="16">
        <v>0.70364963503649636</v>
      </c>
      <c r="M10" s="16">
        <v>0.5427927927927928</v>
      </c>
      <c r="N10" s="13">
        <v>0.85147955726225433</v>
      </c>
      <c r="O10" s="13">
        <v>0.74137083292359129</v>
      </c>
      <c r="P10" s="13">
        <v>0.83294663573085848</v>
      </c>
      <c r="Q10" s="13">
        <v>0.71371769383697814</v>
      </c>
      <c r="R10" s="13">
        <v>0.71060348819262231</v>
      </c>
      <c r="S10" s="13">
        <v>0.55111323916686616</v>
      </c>
      <c r="T10" s="16">
        <v>0.86532663316582914</v>
      </c>
      <c r="U10" s="16">
        <v>0.76262178919397694</v>
      </c>
      <c r="V10" s="16">
        <v>0.82517482517482521</v>
      </c>
      <c r="W10" s="16">
        <v>0.70238095238095233</v>
      </c>
      <c r="X10" s="16">
        <v>0.62295081967213117</v>
      </c>
      <c r="Y10" s="16">
        <v>0.45238095238095238</v>
      </c>
      <c r="Z10" s="13">
        <v>0.85665946724262054</v>
      </c>
      <c r="AA10" s="13">
        <v>0.7492601221585542</v>
      </c>
      <c r="AB10" s="13">
        <v>0.7885088307623519</v>
      </c>
      <c r="AC10" s="13">
        <v>0.65085809189887434</v>
      </c>
      <c r="AD10" s="13">
        <v>0.72662192393736014</v>
      </c>
      <c r="AE10" s="13">
        <v>0.57062543921293041</v>
      </c>
    </row>
  </sheetData>
  <mergeCells count="20">
    <mergeCell ref="Z2:AA2"/>
    <mergeCell ref="AB2:AC2"/>
    <mergeCell ref="AD2:AE2"/>
    <mergeCell ref="N2:O2"/>
    <mergeCell ref="P2:Q2"/>
    <mergeCell ref="R2:S2"/>
    <mergeCell ref="T2:U2"/>
    <mergeCell ref="V2:W2"/>
    <mergeCell ref="X2:Y2"/>
    <mergeCell ref="N1:S1"/>
    <mergeCell ref="T1:Y1"/>
    <mergeCell ref="Z1:AE1"/>
    <mergeCell ref="B2:C2"/>
    <mergeCell ref="D2:E2"/>
    <mergeCell ref="F2:G2"/>
    <mergeCell ref="H2:I2"/>
    <mergeCell ref="J2:K2"/>
    <mergeCell ref="L2:M2"/>
    <mergeCell ref="B1:G1"/>
    <mergeCell ref="H1:M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F2BC-22C5-429A-BFB5-3B4CDFA42ABA}">
  <dimension ref="A1:P18"/>
  <sheetViews>
    <sheetView workbookViewId="0">
      <selection sqref="A1:P18"/>
    </sheetView>
  </sheetViews>
  <sheetFormatPr defaultRowHeight="14.4" x14ac:dyDescent="0.3"/>
  <cols>
    <col min="1" max="1" width="7.88671875" style="23" bestFit="1" customWidth="1"/>
    <col min="2" max="2" width="4.5546875" style="23" bestFit="1" customWidth="1"/>
    <col min="3" max="4" width="5" style="23" bestFit="1" customWidth="1"/>
    <col min="5" max="5" width="4.5546875" style="23" bestFit="1" customWidth="1"/>
    <col min="6" max="7" width="5" style="23" bestFit="1" customWidth="1"/>
    <col min="8" max="8" width="4.5546875" style="23" bestFit="1" customWidth="1"/>
    <col min="9" max="10" width="5" style="23" bestFit="1" customWidth="1"/>
    <col min="11" max="11" width="4.5546875" style="23" bestFit="1" customWidth="1"/>
    <col min="12" max="13" width="5" style="23" bestFit="1" customWidth="1"/>
    <col min="14" max="14" width="4.5546875" style="23" bestFit="1" customWidth="1"/>
    <col min="15" max="16" width="5" style="23" bestFit="1" customWidth="1"/>
    <col min="17" max="16384" width="8.88671875" style="23"/>
  </cols>
  <sheetData>
    <row r="1" spans="1:16" s="23" customFormat="1" x14ac:dyDescent="0.3">
      <c r="A1" s="21" t="s">
        <v>33</v>
      </c>
      <c r="B1" s="22" t="s">
        <v>32</v>
      </c>
      <c r="C1" s="22"/>
      <c r="D1" s="22"/>
      <c r="E1" s="22" t="s">
        <v>85</v>
      </c>
      <c r="F1" s="22"/>
      <c r="G1" s="22"/>
      <c r="H1" s="22" t="s">
        <v>34</v>
      </c>
      <c r="I1" s="22"/>
      <c r="J1" s="22"/>
      <c r="K1" s="22" t="s">
        <v>76</v>
      </c>
      <c r="L1" s="22"/>
      <c r="M1" s="22"/>
      <c r="N1" s="22" t="s">
        <v>88</v>
      </c>
      <c r="O1" s="22"/>
      <c r="P1" s="22"/>
    </row>
    <row r="2" spans="1:16" s="23" customFormat="1" ht="34.200000000000003" customHeight="1" x14ac:dyDescent="0.3">
      <c r="A2" s="24" t="s">
        <v>87</v>
      </c>
      <c r="B2" s="23" t="s">
        <v>89</v>
      </c>
      <c r="C2" s="23" t="s">
        <v>90</v>
      </c>
      <c r="D2" s="23" t="s">
        <v>91</v>
      </c>
      <c r="E2" s="25" t="s">
        <v>89</v>
      </c>
      <c r="F2" s="25" t="s">
        <v>90</v>
      </c>
      <c r="G2" s="25" t="s">
        <v>91</v>
      </c>
      <c r="H2" s="23" t="s">
        <v>89</v>
      </c>
      <c r="I2" s="23" t="s">
        <v>90</v>
      </c>
      <c r="J2" s="23" t="s">
        <v>91</v>
      </c>
      <c r="K2" s="25" t="s">
        <v>89</v>
      </c>
      <c r="L2" s="25" t="s">
        <v>90</v>
      </c>
      <c r="M2" s="25" t="s">
        <v>91</v>
      </c>
      <c r="N2" s="23" t="s">
        <v>89</v>
      </c>
      <c r="O2" s="23" t="s">
        <v>90</v>
      </c>
      <c r="P2" s="23" t="s">
        <v>91</v>
      </c>
    </row>
    <row r="3" spans="1:16" s="23" customFormat="1" x14ac:dyDescent="0.3">
      <c r="A3" s="21" t="s">
        <v>1</v>
      </c>
      <c r="B3" s="23" t="s">
        <v>9</v>
      </c>
      <c r="C3" s="23" t="s">
        <v>9</v>
      </c>
      <c r="D3" s="23" t="s">
        <v>9</v>
      </c>
      <c r="E3" s="25" t="s">
        <v>9</v>
      </c>
      <c r="F3" s="25" t="s">
        <v>9</v>
      </c>
      <c r="G3" s="25" t="s">
        <v>9</v>
      </c>
      <c r="H3" s="23" t="s">
        <v>9</v>
      </c>
      <c r="I3" s="23" t="s">
        <v>9</v>
      </c>
      <c r="J3" s="23" t="s">
        <v>9</v>
      </c>
      <c r="K3" s="25" t="s">
        <v>9</v>
      </c>
      <c r="L3" s="25" t="s">
        <v>9</v>
      </c>
      <c r="M3" s="25" t="s">
        <v>9</v>
      </c>
      <c r="N3" s="23" t="s">
        <v>9</v>
      </c>
      <c r="O3" s="23" t="s">
        <v>9</v>
      </c>
      <c r="P3" s="23" t="s">
        <v>9</v>
      </c>
    </row>
    <row r="4" spans="1:16" s="23" customFormat="1" x14ac:dyDescent="0.3">
      <c r="A4" s="21" t="s">
        <v>81</v>
      </c>
      <c r="B4" s="23">
        <v>0.93608646340649815</v>
      </c>
      <c r="C4" s="23">
        <v>0.84900022983222245</v>
      </c>
      <c r="D4" s="23">
        <v>0.79644588045234244</v>
      </c>
      <c r="E4" s="25">
        <v>0.9407476830157242</v>
      </c>
      <c r="F4" s="25">
        <v>0.92592592592592593</v>
      </c>
      <c r="G4" s="25">
        <v>0.78921568627450978</v>
      </c>
      <c r="H4" s="23">
        <v>0.94919937205651495</v>
      </c>
      <c r="I4" s="23">
        <v>0.95069204152249132</v>
      </c>
      <c r="J4" s="23">
        <v>0.8673875924871941</v>
      </c>
      <c r="K4" s="25">
        <v>0.8908629441624365</v>
      </c>
      <c r="L4" s="25">
        <v>0.88288288288288286</v>
      </c>
      <c r="M4" s="25">
        <v>0.71604938271604934</v>
      </c>
      <c r="N4" s="23">
        <v>0.9197427959037866</v>
      </c>
      <c r="O4" s="23">
        <v>0.9062736205593348</v>
      </c>
      <c r="P4" s="23">
        <v>0.80764104842292317</v>
      </c>
    </row>
    <row r="5" spans="1:16" s="23" customFormat="1" x14ac:dyDescent="0.3">
      <c r="A5" s="21" t="s">
        <v>12</v>
      </c>
      <c r="B5" s="23">
        <v>0.89846839911873222</v>
      </c>
      <c r="C5" s="23">
        <v>0.78400000000000003</v>
      </c>
      <c r="D5" s="23">
        <v>0.7034965034965035</v>
      </c>
      <c r="E5" s="25">
        <v>0.90817320464004248</v>
      </c>
      <c r="F5" s="25">
        <v>0.87684069611780457</v>
      </c>
      <c r="G5" s="25">
        <v>0.75423728813559321</v>
      </c>
      <c r="H5" s="23">
        <v>0.83095438007276801</v>
      </c>
      <c r="I5" s="23">
        <v>0.83706225680933855</v>
      </c>
      <c r="J5" s="23">
        <v>0.83501215699895792</v>
      </c>
      <c r="K5" s="25">
        <v>0.83388049901510175</v>
      </c>
      <c r="L5" s="25">
        <v>0.84403669724770647</v>
      </c>
      <c r="M5" s="25">
        <v>0.69090909090909092</v>
      </c>
      <c r="N5" s="23">
        <v>0.90458691515191281</v>
      </c>
      <c r="O5" s="23">
        <v>0.88837792642140467</v>
      </c>
      <c r="P5" s="23">
        <v>0.78646253021756651</v>
      </c>
    </row>
    <row r="6" spans="1:16" s="23" customFormat="1" x14ac:dyDescent="0.3">
      <c r="A6" s="21" t="s">
        <v>14</v>
      </c>
      <c r="B6" s="23">
        <v>0.87547830773376445</v>
      </c>
      <c r="C6" s="23">
        <v>0.83399999999999996</v>
      </c>
      <c r="D6" s="23">
        <v>0.71671276175424736</v>
      </c>
      <c r="E6" s="25">
        <v>0.89539940489814607</v>
      </c>
      <c r="F6" s="25">
        <v>0.89692832764505115</v>
      </c>
      <c r="G6" s="25">
        <v>0.80936995153473346</v>
      </c>
      <c r="H6" s="23">
        <v>0.83583285632512883</v>
      </c>
      <c r="I6" s="23">
        <v>0.82876440206595148</v>
      </c>
      <c r="J6" s="23">
        <v>0.81638262781748216</v>
      </c>
      <c r="K6" s="25">
        <v>0.82823129251700678</v>
      </c>
      <c r="L6" s="25">
        <v>0.84523809523809523</v>
      </c>
      <c r="M6" s="25">
        <v>0.66666666666666663</v>
      </c>
      <c r="N6" s="23">
        <v>0.83838417813057076</v>
      </c>
      <c r="O6" s="23">
        <v>0.80566716007612604</v>
      </c>
      <c r="P6" s="23">
        <v>0.74619695756605287</v>
      </c>
    </row>
    <row r="7" spans="1:16" s="23" customFormat="1" x14ac:dyDescent="0.3">
      <c r="A7" s="21" t="s">
        <v>16</v>
      </c>
      <c r="B7" s="23">
        <v>0.92418447694038242</v>
      </c>
      <c r="C7" s="23">
        <v>0.88</v>
      </c>
      <c r="D7" s="23">
        <v>0.81234361968306923</v>
      </c>
      <c r="E7" s="25">
        <v>0.92696850393700791</v>
      </c>
      <c r="F7" s="25">
        <v>0.90883392226148407</v>
      </c>
      <c r="G7" s="25">
        <v>0.77241379310344827</v>
      </c>
      <c r="H7" s="23">
        <v>0.85039467959475423</v>
      </c>
      <c r="I7" s="23">
        <v>0.84169550173010377</v>
      </c>
      <c r="J7" s="23">
        <v>0.82301369863013696</v>
      </c>
      <c r="K7" s="25">
        <v>0.87449392712550611</v>
      </c>
      <c r="L7" s="25">
        <v>0.85106382978723405</v>
      </c>
      <c r="M7" s="25">
        <v>0.65486725663716816</v>
      </c>
      <c r="N7" s="23">
        <v>0.87886685552407928</v>
      </c>
      <c r="O7" s="23">
        <v>0.85642678123881133</v>
      </c>
      <c r="P7" s="23">
        <v>0.73899999999999999</v>
      </c>
    </row>
    <row r="8" spans="1:16" s="23" customFormat="1" x14ac:dyDescent="0.3">
      <c r="A8" s="21" t="s">
        <v>18</v>
      </c>
      <c r="B8" s="23">
        <v>0.88045369146197205</v>
      </c>
      <c r="C8" s="23">
        <v>0.85499999999999998</v>
      </c>
      <c r="D8" s="23">
        <v>0.75070159027128158</v>
      </c>
      <c r="E8" s="25">
        <v>0.84333181611288122</v>
      </c>
      <c r="F8" s="25">
        <v>0.80408078284405582</v>
      </c>
      <c r="G8" s="25">
        <v>0.73753665689149561</v>
      </c>
      <c r="H8" s="23">
        <v>0.82634034818132418</v>
      </c>
      <c r="I8" s="23">
        <v>0.81386955400876515</v>
      </c>
      <c r="J8" s="23">
        <v>0.8223140495867769</v>
      </c>
      <c r="K8" s="25">
        <v>0.83845391476709619</v>
      </c>
      <c r="L8" s="25">
        <v>0.80136986301369861</v>
      </c>
      <c r="M8" s="25">
        <v>0.66108786610878656</v>
      </c>
      <c r="N8" s="23">
        <v>0.86697666862956124</v>
      </c>
      <c r="O8" s="23">
        <v>0.82468266934774415</v>
      </c>
      <c r="P8" s="23">
        <v>0.76848406406730307</v>
      </c>
    </row>
    <row r="9" spans="1:16" s="23" customFormat="1" x14ac:dyDescent="0.3">
      <c r="A9" s="21" t="s">
        <v>20</v>
      </c>
      <c r="B9" s="23">
        <v>0.90560153204295191</v>
      </c>
      <c r="C9" s="23">
        <v>0.86699990198961085</v>
      </c>
      <c r="D9" s="23">
        <v>0.79067898754519883</v>
      </c>
      <c r="E9" s="25">
        <v>0.86517178327398714</v>
      </c>
      <c r="F9" s="25">
        <v>0.83006948831332916</v>
      </c>
      <c r="G9" s="25">
        <v>0.72160000000000002</v>
      </c>
      <c r="H9" s="23">
        <v>0.84810600604925823</v>
      </c>
      <c r="I9" s="23">
        <v>0.83551847437425508</v>
      </c>
      <c r="J9" s="23">
        <v>0.80980603448275867</v>
      </c>
      <c r="K9" s="25">
        <v>0.84753713838936673</v>
      </c>
      <c r="L9" s="25">
        <v>0.82222222222222219</v>
      </c>
      <c r="M9" s="25">
        <v>0.57718120805369133</v>
      </c>
      <c r="N9" s="23">
        <v>0.85049439683586026</v>
      </c>
      <c r="O9" s="23">
        <v>0.80674342105263153</v>
      </c>
      <c r="P9" s="23">
        <v>0.76992481203007523</v>
      </c>
    </row>
    <row r="10" spans="1:16" s="23" customFormat="1" x14ac:dyDescent="0.3">
      <c r="A10" s="21" t="s">
        <v>22</v>
      </c>
      <c r="B10" s="23">
        <v>0.8808629824576617</v>
      </c>
      <c r="C10" s="23">
        <v>0.83799999999999997</v>
      </c>
      <c r="D10" s="23">
        <v>0.73849821215733014</v>
      </c>
      <c r="E10" s="25">
        <v>0.8663974823347782</v>
      </c>
      <c r="F10" s="25">
        <v>0.81897725063192695</v>
      </c>
      <c r="G10" s="25">
        <v>0.70364963503649636</v>
      </c>
      <c r="H10" s="23">
        <v>0.85147955726225433</v>
      </c>
      <c r="I10" s="23">
        <v>0.83294663573085848</v>
      </c>
      <c r="J10" s="23">
        <v>0.71060348819262231</v>
      </c>
      <c r="K10" s="25">
        <v>0.86532663316582914</v>
      </c>
      <c r="L10" s="25">
        <v>0.82517482517482521</v>
      </c>
      <c r="M10" s="25">
        <v>0.62295081967213117</v>
      </c>
      <c r="N10" s="23">
        <v>0.85665946724262054</v>
      </c>
      <c r="O10" s="23">
        <v>0.7885088307623519</v>
      </c>
      <c r="P10" s="23">
        <v>0.72662192393736014</v>
      </c>
    </row>
    <row r="11" spans="1:16" s="23" customFormat="1" x14ac:dyDescent="0.3">
      <c r="A11" s="21"/>
      <c r="B11" s="21" t="s">
        <v>82</v>
      </c>
      <c r="C11" s="21" t="s">
        <v>82</v>
      </c>
      <c r="D11" s="21" t="s">
        <v>82</v>
      </c>
      <c r="E11" s="21" t="s">
        <v>82</v>
      </c>
      <c r="F11" s="21" t="s">
        <v>82</v>
      </c>
      <c r="G11" s="21" t="s">
        <v>82</v>
      </c>
      <c r="H11" s="21" t="s">
        <v>82</v>
      </c>
      <c r="I11" s="21" t="s">
        <v>82</v>
      </c>
      <c r="J11" s="21" t="s">
        <v>82</v>
      </c>
      <c r="K11" s="21" t="s">
        <v>82</v>
      </c>
      <c r="L11" s="21" t="s">
        <v>82</v>
      </c>
      <c r="M11" s="21" t="s">
        <v>82</v>
      </c>
      <c r="N11" s="21" t="s">
        <v>82</v>
      </c>
      <c r="O11" s="21" t="s">
        <v>82</v>
      </c>
      <c r="P11" s="21" t="s">
        <v>82</v>
      </c>
    </row>
    <row r="12" spans="1:16" s="23" customFormat="1" x14ac:dyDescent="0.3">
      <c r="A12" s="21" t="s">
        <v>81</v>
      </c>
      <c r="B12" s="23">
        <v>0.87985200978240419</v>
      </c>
      <c r="C12" s="23">
        <v>0.73761980830670926</v>
      </c>
      <c r="D12" s="23">
        <v>0.661744966442953</v>
      </c>
      <c r="E12" s="25">
        <v>0.88812426268187183</v>
      </c>
      <c r="F12" s="25">
        <v>0.86206896551724133</v>
      </c>
      <c r="G12" s="25">
        <v>0.65182186234817818</v>
      </c>
      <c r="H12" s="23">
        <v>0.90331062507469817</v>
      </c>
      <c r="I12" s="23">
        <v>0.90601813685078314</v>
      </c>
      <c r="J12" s="23">
        <v>0.76582914572864325</v>
      </c>
      <c r="K12" s="25">
        <v>0.80320366132723109</v>
      </c>
      <c r="L12" s="25">
        <v>0.79032258064516125</v>
      </c>
      <c r="M12" s="25">
        <v>0.55769230769230771</v>
      </c>
      <c r="N12" s="23">
        <v>0.8514109347442681</v>
      </c>
      <c r="O12" s="23">
        <v>0.82861091914305463</v>
      </c>
      <c r="P12" s="23">
        <v>0.67734724292101345</v>
      </c>
    </row>
    <row r="13" spans="1:16" s="23" customFormat="1" x14ac:dyDescent="0.3">
      <c r="A13" s="21" t="s">
        <v>12</v>
      </c>
      <c r="B13" s="23">
        <v>0.81565376644657572</v>
      </c>
      <c r="C13" s="23">
        <v>0.64473684210526316</v>
      </c>
      <c r="D13" s="23">
        <v>0.54261057173678529</v>
      </c>
      <c r="E13" s="25">
        <v>0.8317923763179238</v>
      </c>
      <c r="F13" s="25">
        <v>0.78069129916567337</v>
      </c>
      <c r="G13" s="25">
        <v>0.60544217687074831</v>
      </c>
      <c r="H13" s="23">
        <v>0.71079722288723968</v>
      </c>
      <c r="I13" s="23">
        <v>0.71978251777498958</v>
      </c>
      <c r="J13" s="23">
        <v>0.71675611210494927</v>
      </c>
      <c r="K13" s="25">
        <v>0.71509009009009006</v>
      </c>
      <c r="L13" s="25">
        <v>0.73015873015873012</v>
      </c>
      <c r="M13" s="25">
        <v>0.52777777777777779</v>
      </c>
      <c r="N13" s="23">
        <v>0.82579524351524591</v>
      </c>
      <c r="O13" s="23">
        <v>0.79917262128619782</v>
      </c>
      <c r="P13" s="23">
        <v>0.64807436918990702</v>
      </c>
    </row>
    <row r="14" spans="1:16" s="23" customFormat="1" x14ac:dyDescent="0.3">
      <c r="A14" s="21" t="s">
        <v>14</v>
      </c>
      <c r="B14" s="23">
        <v>0.7785339435910954</v>
      </c>
      <c r="C14" s="23">
        <v>0.71526586620926247</v>
      </c>
      <c r="D14" s="23">
        <v>0.55849753694581283</v>
      </c>
      <c r="E14" s="25">
        <v>0.81060920016576876</v>
      </c>
      <c r="F14" s="25">
        <v>0.81311881188118806</v>
      </c>
      <c r="G14" s="25">
        <v>0.67978290366350069</v>
      </c>
      <c r="H14" s="23">
        <v>0.71796636837447148</v>
      </c>
      <c r="I14" s="23">
        <v>0.70759837177747631</v>
      </c>
      <c r="J14" s="23">
        <v>0.68973525313516026</v>
      </c>
      <c r="K14" s="25">
        <v>0.70682148040638604</v>
      </c>
      <c r="L14" s="25">
        <v>0.73195876288659789</v>
      </c>
      <c r="M14" s="25">
        <v>0.5</v>
      </c>
      <c r="N14" s="23">
        <v>0.72173963400509611</v>
      </c>
      <c r="O14" s="23">
        <v>0.67457507082152979</v>
      </c>
      <c r="P14" s="23">
        <v>0.59514687100893993</v>
      </c>
    </row>
    <row r="15" spans="1:16" s="23" customFormat="1" x14ac:dyDescent="0.3">
      <c r="A15" s="21" t="s">
        <v>16</v>
      </c>
      <c r="B15" s="23">
        <v>0.85905478879130071</v>
      </c>
      <c r="C15" s="23">
        <v>0.7857142857142857</v>
      </c>
      <c r="D15" s="23">
        <v>0.6839887640449438</v>
      </c>
      <c r="E15" s="25">
        <v>0.86387818748853418</v>
      </c>
      <c r="F15" s="25">
        <v>0.83290155440414504</v>
      </c>
      <c r="G15" s="25">
        <v>0.6292134831460674</v>
      </c>
      <c r="H15" s="23">
        <v>0.73972750865051906</v>
      </c>
      <c r="I15" s="23">
        <v>0.72666168782673635</v>
      </c>
      <c r="J15" s="23">
        <v>0.6992551210428305</v>
      </c>
      <c r="K15" s="25">
        <v>0.7769784172661871</v>
      </c>
      <c r="L15" s="25">
        <v>0.7407407407407407</v>
      </c>
      <c r="M15" s="25">
        <v>0.48684210526315791</v>
      </c>
      <c r="N15" s="23">
        <v>0.78390944006468566</v>
      </c>
      <c r="O15" s="23">
        <v>0.74890419536631181</v>
      </c>
      <c r="P15" s="23">
        <v>0.58604282315622525</v>
      </c>
    </row>
    <row r="16" spans="1:16" s="23" customFormat="1" x14ac:dyDescent="0.3">
      <c r="A16" s="21" t="s">
        <v>18</v>
      </c>
      <c r="B16" s="23">
        <v>0.78643793896450986</v>
      </c>
      <c r="C16" s="23">
        <v>0.74672489082969429</v>
      </c>
      <c r="D16" s="23">
        <v>0.60089853987270681</v>
      </c>
      <c r="E16" s="25">
        <v>0.7291043601448135</v>
      </c>
      <c r="F16" s="25">
        <v>0.6723537604456824</v>
      </c>
      <c r="G16" s="25">
        <v>0.58420441347270613</v>
      </c>
      <c r="H16" s="23">
        <v>0.7040715312150726</v>
      </c>
      <c r="I16" s="23">
        <v>0.68615518365572703</v>
      </c>
      <c r="J16" s="23">
        <v>0.69824561403508767</v>
      </c>
      <c r="K16" s="25">
        <v>0.72184300341296925</v>
      </c>
      <c r="L16" s="25">
        <v>0.66857142857142859</v>
      </c>
      <c r="M16" s="25">
        <v>0.49375000000000002</v>
      </c>
      <c r="N16" s="23">
        <v>0.76518871644144948</v>
      </c>
      <c r="O16" s="23">
        <v>0.70166809238665528</v>
      </c>
      <c r="P16" s="23">
        <v>0.62401471361008931</v>
      </c>
    </row>
    <row r="17" spans="1:16" s="23" customFormat="1" x14ac:dyDescent="0.3">
      <c r="A17" s="21" t="s">
        <v>20</v>
      </c>
      <c r="B17" s="23">
        <v>0.82748793840461965</v>
      </c>
      <c r="C17" s="23">
        <v>0.7652249134948097</v>
      </c>
      <c r="D17" s="23">
        <v>0.65382059800664449</v>
      </c>
      <c r="E17" s="25">
        <v>0.76238127544097689</v>
      </c>
      <c r="F17" s="25">
        <v>0.70950323974082075</v>
      </c>
      <c r="G17" s="25">
        <v>0.56445556946182729</v>
      </c>
      <c r="H17" s="23">
        <v>0.73627088126437934</v>
      </c>
      <c r="I17" s="23">
        <v>0.71750255885363357</v>
      </c>
      <c r="J17" s="23">
        <v>0.68039837030330463</v>
      </c>
      <c r="K17" s="25">
        <v>0.73541383989145181</v>
      </c>
      <c r="L17" s="25">
        <v>0.69811320754716977</v>
      </c>
      <c r="M17" s="25">
        <v>0.40566037735849059</v>
      </c>
      <c r="N17" s="23">
        <v>0.73987842642504875</v>
      </c>
      <c r="O17" s="23">
        <v>0.67608545830461753</v>
      </c>
      <c r="P17" s="23">
        <v>0.62591687041564792</v>
      </c>
    </row>
    <row r="18" spans="1:16" s="23" customFormat="1" x14ac:dyDescent="0.3">
      <c r="A18" s="21" t="s">
        <v>22</v>
      </c>
      <c r="B18" s="23">
        <v>0.78709127537579415</v>
      </c>
      <c r="C18" s="23">
        <v>0.72117039586919107</v>
      </c>
      <c r="D18" s="23">
        <v>0.58541194255479967</v>
      </c>
      <c r="E18" s="25">
        <v>0.76428683672934894</v>
      </c>
      <c r="F18" s="25">
        <v>0.69344748106684229</v>
      </c>
      <c r="G18" s="25">
        <v>0.5427927927927928</v>
      </c>
      <c r="H18" s="23">
        <v>0.74137083292359129</v>
      </c>
      <c r="I18" s="23">
        <v>0.71371769383697814</v>
      </c>
      <c r="J18" s="23">
        <v>0.55111323916686616</v>
      </c>
      <c r="K18" s="25">
        <v>0.76262178919397694</v>
      </c>
      <c r="L18" s="25">
        <v>0.70238095238095233</v>
      </c>
      <c r="M18" s="25">
        <v>0.45238095238095238</v>
      </c>
      <c r="N18" s="23">
        <v>0.7492601221585542</v>
      </c>
      <c r="O18" s="23">
        <v>0.65085809189887434</v>
      </c>
      <c r="P18" s="23">
        <v>0.57062543921293041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Oval</vt:lpstr>
      <vt:lpstr>Olympic-ring</vt:lpstr>
      <vt:lpstr>Linear</vt:lpstr>
      <vt:lpstr>colonies</vt:lpstr>
      <vt:lpstr>Sinusoid</vt:lpstr>
      <vt:lpstr>Sheet6</vt:lpstr>
      <vt:lpstr>Sheet7</vt:lpstr>
      <vt:lpstr>Sheet8</vt:lpstr>
      <vt:lpstr>Final</vt:lpstr>
      <vt:lpstr>Final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Fathollahian, Hossein</dc:creator>
  <cp:lastModifiedBy>Fathollahian, Hossein</cp:lastModifiedBy>
  <dcterms:created xsi:type="dcterms:W3CDTF">2026-01-27T16:21:29Z</dcterms:created>
  <dcterms:modified xsi:type="dcterms:W3CDTF">2026-02-02T18:23:57Z</dcterms:modified>
</cp:coreProperties>
</file>